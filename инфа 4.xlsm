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anys\Desktop\"/>
    </mc:Choice>
  </mc:AlternateContent>
  <xr:revisionPtr revIDLastSave="0" documentId="13_ncr:1_{50AD2AD3-6C11-4CDF-988F-941C5A59968B}" xr6:coauthVersionLast="47" xr6:coauthVersionMax="47" xr10:uidLastSave="{00000000-0000-0000-0000-000000000000}"/>
  <bookViews>
    <workbookView xWindow="-108" yWindow="-108" windowWidth="23256" windowHeight="13176" activeTab="6" xr2:uid="{00000000-000D-0000-FFFF-FFFF00000000}"/>
  </bookViews>
  <sheets>
    <sheet name="Лист1" sheetId="1" r:id="rId1"/>
    <sheet name="Лист2" sheetId="2" r:id="rId2"/>
    <sheet name="Лист8" sheetId="8" r:id="rId3"/>
    <sheet name="Лист3" sheetId="3" r:id="rId4"/>
    <sheet name="Диаграмма3" sheetId="41" state="hidden" r:id="rId5"/>
    <sheet name="Диаграмма5" sheetId="49" r:id="rId6"/>
    <sheet name="Лист4" sheetId="34" r:id="rId7"/>
    <sheet name="Диаграмма7" sheetId="16" state="hidden" r:id="rId8"/>
    <sheet name="Диаграмма2" sheetId="25" state="hidden" r:id="rId9"/>
    <sheet name="Диаграмма1" sheetId="26" state="hidden" r:id="rId10"/>
  </sheets>
  <functionGroups builtInGroupCount="19"/>
  <definedNames>
    <definedName name="_xlnm._FilterDatabase" localSheetId="3" hidden="1">Лист3!$A$1:$J$42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0" i="3" l="1"/>
  <c r="B69" i="3"/>
  <c r="B68" i="3"/>
  <c r="F3" i="3"/>
  <c r="F4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B2" i="1"/>
  <c r="B52" i="3" l="1"/>
  <c r="B66" i="3" s="1"/>
  <c r="B59" i="3"/>
  <c r="B49" i="3"/>
  <c r="B57" i="3"/>
  <c r="B55" i="3"/>
  <c r="B56" i="3"/>
  <c r="B58" i="3"/>
  <c r="B50" i="3"/>
  <c r="B51" i="3"/>
  <c r="B48" i="3"/>
  <c r="B62" i="3" s="1"/>
  <c r="G3" i="2"/>
  <c r="B63" i="3" l="1"/>
  <c r="B64" i="3"/>
  <c r="B65" i="3"/>
  <c r="C4" i="2"/>
  <c r="F4" i="2" s="1"/>
  <c r="B4" i="2"/>
  <c r="D4" i="2" s="1"/>
  <c r="G4" i="2" s="1"/>
  <c r="F3" i="2"/>
  <c r="E3" i="2"/>
  <c r="D3" i="2"/>
  <c r="C3" i="2"/>
  <c r="B3" i="2"/>
  <c r="E4" i="2" l="1"/>
  <c r="C5" i="2" s="1"/>
  <c r="F5" i="2" s="1"/>
  <c r="B5" i="2"/>
  <c r="E5" i="2" s="1"/>
  <c r="F2" i="2"/>
  <c r="E2" i="2"/>
  <c r="D2" i="2"/>
  <c r="G2" i="2" s="1"/>
  <c r="E6" i="1"/>
  <c r="B3" i="1"/>
  <c r="E5" i="1"/>
  <c r="D5" i="2" l="1"/>
  <c r="G5" i="2" s="1"/>
  <c r="B6" i="2" l="1"/>
  <c r="E6" i="2" s="1"/>
  <c r="C6" i="2"/>
  <c r="F6" i="2" s="1"/>
  <c r="D6" i="1"/>
  <c r="C4" i="1"/>
  <c r="B5" i="1"/>
  <c r="E4" i="1"/>
  <c r="B6" i="1"/>
  <c r="C5" i="1"/>
  <c r="E3" i="1"/>
  <c r="E2" i="1"/>
  <c r="F3" i="1"/>
  <c r="F5" i="1"/>
  <c r="F4" i="1"/>
  <c r="D2" i="1"/>
  <c r="C3" i="1"/>
  <c r="C2" i="1"/>
  <c r="F6" i="1"/>
  <c r="F2" i="1"/>
  <c r="D4" i="1"/>
  <c r="D5" i="1"/>
  <c r="C6" i="1"/>
  <c r="D3" i="1"/>
  <c r="B4" i="1"/>
  <c r="D6" i="2" l="1"/>
  <c r="G6" i="2" s="1"/>
  <c r="C7" i="2" l="1"/>
  <c r="F7" i="2" s="1"/>
  <c r="B7" i="2" l="1"/>
  <c r="E7" i="2" s="1"/>
  <c r="D7" i="2" l="1"/>
  <c r="G7" i="2" s="1"/>
  <c r="B8" i="2" l="1"/>
  <c r="C8" i="2"/>
  <c r="F8" i="2" s="1"/>
  <c r="E8" i="2"/>
  <c r="D8" i="2"/>
  <c r="G8" i="2" l="1"/>
  <c r="E9" i="2"/>
  <c r="D9" i="2"/>
  <c r="F9" i="2" l="1"/>
  <c r="B9" i="2"/>
  <c r="C9" i="2"/>
</calcChain>
</file>

<file path=xl/sharedStrings.xml><?xml version="1.0" encoding="utf-8"?>
<sst xmlns="http://schemas.openxmlformats.org/spreadsheetml/2006/main" count="136" uniqueCount="75">
  <si>
    <t>a</t>
  </si>
  <si>
    <t>b</t>
  </si>
  <si>
    <t>c</t>
  </si>
  <si>
    <t>f(a)</t>
  </si>
  <si>
    <t>f(b)</t>
  </si>
  <si>
    <t>f(c)</t>
  </si>
  <si>
    <t>Шаг</t>
  </si>
  <si>
    <t>Группа</t>
  </si>
  <si>
    <t>Быков З. З.</t>
  </si>
  <si>
    <t>Зеленский А. К.</t>
  </si>
  <si>
    <t>Копчин Ю. П.</t>
  </si>
  <si>
    <t>Листопадова Н. Н.</t>
  </si>
  <si>
    <t>Рыков З.З.</t>
  </si>
  <si>
    <t>Сенченко В. Э.</t>
  </si>
  <si>
    <t>Григорович Я. В.</t>
  </si>
  <si>
    <t>Достоевский В. К.</t>
  </si>
  <si>
    <t>Жилина Е. А.</t>
  </si>
  <si>
    <t>Зинченко Л. И.</t>
  </si>
  <si>
    <t>Ильбанова Ш. Н.</t>
  </si>
  <si>
    <t>Онов К. К.</t>
  </si>
  <si>
    <t>Останин Ж. У.</t>
  </si>
  <si>
    <t>Филиппов К. Н.</t>
  </si>
  <si>
    <t>Хамов А. Д.</t>
  </si>
  <si>
    <t>Чернов А. А.</t>
  </si>
  <si>
    <t>Яров У. Т.</t>
  </si>
  <si>
    <t>Философия</t>
  </si>
  <si>
    <t>Информатика</t>
  </si>
  <si>
    <t>Мат.анализ</t>
  </si>
  <si>
    <t>Стипендия</t>
  </si>
  <si>
    <t>Размер степендии</t>
  </si>
  <si>
    <t>Надбавка</t>
  </si>
  <si>
    <t>за 4 и 5</t>
  </si>
  <si>
    <t>за 5</t>
  </si>
  <si>
    <t>Отличники</t>
  </si>
  <si>
    <t>Хорошисты</t>
  </si>
  <si>
    <t>Троечники</t>
  </si>
  <si>
    <t>Двоечники</t>
  </si>
  <si>
    <t>Всего студентов на потоке</t>
  </si>
  <si>
    <t>x</t>
  </si>
  <si>
    <t>y</t>
  </si>
  <si>
    <t>z</t>
  </si>
  <si>
    <t>ПМИ-03</t>
  </si>
  <si>
    <t>ПМИ-01</t>
  </si>
  <si>
    <t>ПМ-01</t>
  </si>
  <si>
    <t>Батрудинов П. Р.</t>
  </si>
  <si>
    <t>Арыков Е. Н.</t>
  </si>
  <si>
    <t>Акилин А. А.</t>
  </si>
  <si>
    <t>Ивлеева А. Н.</t>
  </si>
  <si>
    <t>Кел М. Г.</t>
  </si>
  <si>
    <t>Макаров Н. Г.</t>
  </si>
  <si>
    <t>Мироева Е. У.</t>
  </si>
  <si>
    <t>Никитин Р. В.</t>
  </si>
  <si>
    <t>Ноксов П. П.</t>
  </si>
  <si>
    <t>Опорный Ц. Э.</t>
  </si>
  <si>
    <t>Павлов Р .П.</t>
  </si>
  <si>
    <t>Саломон А. К.</t>
  </si>
  <si>
    <t>Юникрон П. А.</t>
  </si>
  <si>
    <t>Азоновый К. К.</t>
  </si>
  <si>
    <t>Арсен Е. Н.</t>
  </si>
  <si>
    <t>Велес В. Д.</t>
  </si>
  <si>
    <t>Гусеева К. Н.</t>
  </si>
  <si>
    <t>Жириновский Е. З.</t>
  </si>
  <si>
    <t>Кулнок Ю. С.</t>
  </si>
  <si>
    <t>Лимиченко А. А.</t>
  </si>
  <si>
    <t>Орков Г. У.</t>
  </si>
  <si>
    <t>Улич П. В.</t>
  </si>
  <si>
    <t>Закраев Ш. К.</t>
  </si>
  <si>
    <t>Всего студентов в группе</t>
  </si>
  <si>
    <t>Поток</t>
  </si>
  <si>
    <t>Общий итог</t>
  </si>
  <si>
    <t>Ф.И.О. студента</t>
  </si>
  <si>
    <t>Мин. балл</t>
  </si>
  <si>
    <t>Всего студентов</t>
  </si>
  <si>
    <t>Отличников</t>
  </si>
  <si>
    <t>Остальные студенты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</si>
</sst>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р.&quot;"/>
  </numFmts>
  <fonts count="5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AA1E"/>
        <bgColor indexed="64"/>
      </patternFill>
    </fill>
    <fill>
      <patternFill patternType="solid">
        <fgColor rgb="FF0000C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Fill="1" applyBorder="1"/>
    <xf numFmtId="0" fontId="0" fillId="0" borderId="0" xfId="0" applyBorder="1"/>
    <xf numFmtId="0" fontId="0" fillId="4" borderId="0" xfId="0" applyFill="1" applyBorder="1"/>
    <xf numFmtId="0" fontId="0" fillId="3" borderId="0" xfId="0" applyFill="1" applyBorder="1"/>
    <xf numFmtId="0" fontId="2" fillId="2" borderId="0" xfId="0" applyFont="1" applyFill="1" applyBorder="1"/>
    <xf numFmtId="0" fontId="2" fillId="7" borderId="1" xfId="0" applyFont="1" applyFill="1" applyBorder="1" applyAlignment="1">
      <alignment horizontal="right"/>
    </xf>
    <xf numFmtId="0" fontId="2" fillId="7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3" fillId="1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 applyAlignment="1"/>
    <xf numFmtId="0" fontId="2" fillId="0" borderId="5" xfId="0" applyFont="1" applyFill="1" applyBorder="1" applyAlignment="1"/>
    <xf numFmtId="0" fontId="0" fillId="10" borderId="1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center"/>
    </xf>
    <xf numFmtId="164" fontId="1" fillId="14" borderId="1" xfId="0" applyNumberFormat="1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15" borderId="1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16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18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6" borderId="1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2" fillId="16" borderId="7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/>
    </xf>
    <xf numFmtId="0" fontId="2" fillId="16" borderId="8" xfId="0" applyFont="1" applyFill="1" applyBorder="1" applyAlignment="1">
      <alignment horizontal="center" vertical="center"/>
    </xf>
    <xf numFmtId="0" fontId="2" fillId="16" borderId="9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6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15" Type="http://schemas.openxmlformats.org/officeDocument/2006/relationships/calcChain" Target="calcChain.xml"/><Relationship Id="rId10" Type="http://schemas.openxmlformats.org/officeDocument/2006/relationships/chartsheet" Target="chartsheets/sheet5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Лист1!$A$2</c:f>
              <c:strCache>
                <c:ptCount val="1"/>
                <c:pt idx="0">
                  <c:v>-10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Лист1!$B$1:$F$1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Лист1!$B$2:$F$2</c:f>
              <c:numCache>
                <c:formatCode>General</c:formatCode>
                <c:ptCount val="5"/>
                <c:pt idx="0">
                  <c:v>100</c:v>
                </c:pt>
                <c:pt idx="1">
                  <c:v>50</c:v>
                </c:pt>
                <c:pt idx="2">
                  <c:v>0</c:v>
                </c:pt>
                <c:pt idx="3">
                  <c:v>-50</c:v>
                </c:pt>
                <c:pt idx="4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2-4B4F-9561-5339CBB406FD}"/>
            </c:ext>
          </c:extLst>
        </c:ser>
        <c:ser>
          <c:idx val="1"/>
          <c:order val="1"/>
          <c:tx>
            <c:strRef>
              <c:f>Лист1!$A$3</c:f>
              <c:strCache>
                <c:ptCount val="1"/>
                <c:pt idx="0">
                  <c:v>-5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Лист1!$B$1:$F$1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Лист1!$B$3:$F$3</c:f>
              <c:numCache>
                <c:formatCode>General</c:formatCode>
                <c:ptCount val="5"/>
                <c:pt idx="0">
                  <c:v>50</c:v>
                </c:pt>
                <c:pt idx="1">
                  <c:v>25</c:v>
                </c:pt>
                <c:pt idx="2">
                  <c:v>0</c:v>
                </c:pt>
                <c:pt idx="3">
                  <c:v>-25</c:v>
                </c:pt>
                <c:pt idx="4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2-4B4F-9561-5339CBB406FD}"/>
            </c:ext>
          </c:extLst>
        </c:ser>
        <c:ser>
          <c:idx val="2"/>
          <c:order val="2"/>
          <c:tx>
            <c:strRef>
              <c:f>Лист1!$A$4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Лист1!$B$1:$F$1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Лист1!$B$4:$F$4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2-4B4F-9561-5339CBB406FD}"/>
            </c:ext>
          </c:extLst>
        </c:ser>
        <c:ser>
          <c:idx val="3"/>
          <c:order val="3"/>
          <c:tx>
            <c:strRef>
              <c:f>Лист1!$A$5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Лист1!$B$1:$F$1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Лист1!$B$5:$F$5</c:f>
              <c:numCache>
                <c:formatCode>General</c:formatCode>
                <c:ptCount val="5"/>
                <c:pt idx="0">
                  <c:v>-50</c:v>
                </c:pt>
                <c:pt idx="1">
                  <c:v>-25</c:v>
                </c:pt>
                <c:pt idx="2">
                  <c:v>0</c:v>
                </c:pt>
                <c:pt idx="3">
                  <c:v>25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2-4B4F-9561-5339CBB406FD}"/>
            </c:ext>
          </c:extLst>
        </c:ser>
        <c:ser>
          <c:idx val="4"/>
          <c:order val="4"/>
          <c:tx>
            <c:strRef>
              <c:f>Лист1!$A$6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Лист1!$B$1:$F$1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Лист1!$B$6:$F$6</c:f>
              <c:numCache>
                <c:formatCode>General</c:formatCode>
                <c:ptCount val="5"/>
                <c:pt idx="0">
                  <c:v>-100</c:v>
                </c:pt>
                <c:pt idx="1">
                  <c:v>-50</c:v>
                </c:pt>
                <c:pt idx="2">
                  <c:v>0</c:v>
                </c:pt>
                <c:pt idx="3">
                  <c:v>50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82-4B4F-9561-5339CBB406FD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87358080"/>
        <c:axId val="86704512"/>
        <c:axId val="83515584"/>
      </c:surface3DChart>
      <c:catAx>
        <c:axId val="873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704512"/>
        <c:crosses val="autoZero"/>
        <c:auto val="1"/>
        <c:lblAlgn val="ctr"/>
        <c:lblOffset val="100"/>
        <c:noMultiLvlLbl val="0"/>
      </c:catAx>
      <c:valAx>
        <c:axId val="867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358080"/>
        <c:crosses val="autoZero"/>
        <c:crossBetween val="midCat"/>
      </c:valAx>
      <c:serAx>
        <c:axId val="83515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704512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Лист2!$H$23:$H$25</c:f>
              <c:numCache>
                <c:formatCode>General</c:formatCode>
                <c:ptCount val="3"/>
                <c:pt idx="0">
                  <c:v>3.2</c:v>
                </c:pt>
                <c:pt idx="1">
                  <c:v>3.2250000000000001</c:v>
                </c:pt>
                <c:pt idx="2">
                  <c:v>3.2374999999999998</c:v>
                </c:pt>
              </c:numCache>
            </c:numRef>
          </c:xVal>
          <c:yVal>
            <c:numRef>
              <c:f>Лист2!$I$23:$I$25</c:f>
              <c:numCache>
                <c:formatCode>General</c:formatCode>
                <c:ptCount val="3"/>
                <c:pt idx="0">
                  <c:v>6.8616599999999996</c:v>
                </c:pt>
                <c:pt idx="1">
                  <c:v>1.5609109999999999</c:v>
                </c:pt>
                <c:pt idx="2">
                  <c:v>-8.6669999999999997E-2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5AC-852E-4B3B73D02991}"/>
            </c:ext>
          </c:extLst>
        </c:ser>
        <c:ser>
          <c:idx val="1"/>
          <c:order val="1"/>
          <c:tx>
            <c:v>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Лист2!$K$22:$K$26</c:f>
              <c:numCache>
                <c:formatCode>General</c:formatCode>
                <c:ptCount val="5"/>
                <c:pt idx="0">
                  <c:v>-3.05</c:v>
                </c:pt>
                <c:pt idx="1">
                  <c:v>-3.0249999999999999</c:v>
                </c:pt>
                <c:pt idx="2">
                  <c:v>-3.0375000000000001</c:v>
                </c:pt>
                <c:pt idx="3">
                  <c:v>-3.03125</c:v>
                </c:pt>
                <c:pt idx="4">
                  <c:v>-3.0328200000000001</c:v>
                </c:pt>
              </c:numCache>
            </c:numRef>
          </c:xVal>
          <c:yVal>
            <c:numRef>
              <c:f>Лист2!$L$22:$L$26</c:f>
              <c:numCache>
                <c:formatCode>General</c:formatCode>
                <c:ptCount val="5"/>
                <c:pt idx="0">
                  <c:v>1.5848580000000001</c:v>
                </c:pt>
                <c:pt idx="1">
                  <c:v>-0.61265000000000003</c:v>
                </c:pt>
                <c:pt idx="2">
                  <c:v>0.34569699999999998</c:v>
                </c:pt>
                <c:pt idx="3">
                  <c:v>-0.16261</c:v>
                </c:pt>
                <c:pt idx="4">
                  <c:v>-4.0800000000000003E-2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5AC-852E-4B3B73D02991}"/>
            </c:ext>
          </c:extLst>
        </c:ser>
        <c:ser>
          <c:idx val="2"/>
          <c:order val="2"/>
          <c:tx>
            <c:v>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Лист2!$N$21:$N$25</c:f>
              <c:numCache>
                <c:formatCode>General</c:formatCode>
                <c:ptCount val="5"/>
                <c:pt idx="0">
                  <c:v>0.5</c:v>
                </c:pt>
                <c:pt idx="1">
                  <c:v>0.75</c:v>
                </c:pt>
                <c:pt idx="2">
                  <c:v>0.875</c:v>
                </c:pt>
                <c:pt idx="3">
                  <c:v>0.90625</c:v>
                </c:pt>
                <c:pt idx="4">
                  <c:v>0.890625</c:v>
                </c:pt>
              </c:numCache>
            </c:numRef>
          </c:xVal>
          <c:yVal>
            <c:numRef>
              <c:f>Лист2!$O$21:$O$25</c:f>
              <c:numCache>
                <c:formatCode>General</c:formatCode>
                <c:ptCount val="5"/>
                <c:pt idx="0">
                  <c:v>1.5804879999999999</c:v>
                </c:pt>
                <c:pt idx="1">
                  <c:v>0.51092599999999999</c:v>
                </c:pt>
                <c:pt idx="2">
                  <c:v>6.9502999999999995E-2</c:v>
                </c:pt>
                <c:pt idx="3">
                  <c:v>-3.7870000000000001E-2</c:v>
                </c:pt>
                <c:pt idx="4">
                  <c:v>1.5731999999999999E-2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92-45AC-852E-4B3B73D02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10784"/>
        <c:axId val="121912704"/>
      </c:scatterChart>
      <c:valAx>
        <c:axId val="12191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x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912704"/>
        <c:crosses val="autoZero"/>
        <c:crossBetween val="midCat"/>
      </c:valAx>
      <c:valAx>
        <c:axId val="12191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y</a:t>
                </a: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91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ПМ-01</a:t>
            </a:r>
          </a:p>
        </c:rich>
      </c:tx>
      <c:layout>
        <c:manualLayout>
          <c:xMode val="edge"/>
          <c:yMode val="edge"/>
          <c:x val="0.4479512248468941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E5-4DB7-8150-7732F275F0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E5-4DB7-8150-7732F275F07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E5-4DB7-8150-7732F275F07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E5-4DB7-8150-7732F275F07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Лист3!$A$49:$A$52</c:f>
              <c:strCache>
                <c:ptCount val="4"/>
                <c:pt idx="0">
                  <c:v>Отличники</c:v>
                </c:pt>
                <c:pt idx="1">
                  <c:v>Хорошисты</c:v>
                </c:pt>
                <c:pt idx="2">
                  <c:v>Троечники</c:v>
                </c:pt>
                <c:pt idx="3">
                  <c:v>Двоечники</c:v>
                </c:pt>
              </c:strCache>
            </c:strRef>
          </c:cat>
          <c:val>
            <c:numRef>
              <c:f>Лист3!$B$49:$B$52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1-49CC-84E4-3FFCA662FAF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ПМИ-01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14-4B39-B087-CDA29285DA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14-4B39-B087-CDA29285DA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14-4B39-B087-CDA29285DA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14-4B39-B087-CDA29285DAD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Лист3!$A$56:$A$59</c:f>
              <c:strCache>
                <c:ptCount val="4"/>
                <c:pt idx="0">
                  <c:v>Отличники</c:v>
                </c:pt>
                <c:pt idx="1">
                  <c:v>Хорошисты</c:v>
                </c:pt>
                <c:pt idx="2">
                  <c:v>Троечники</c:v>
                </c:pt>
                <c:pt idx="3">
                  <c:v>Двоечники</c:v>
                </c:pt>
              </c:strCache>
            </c:strRef>
          </c:cat>
          <c:val>
            <c:numRef>
              <c:f>Лист3!$B$56:$B$59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1-43D4-8173-6AE89AE7329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Поток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CF-43D0-B5FC-6737F249D9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CF-43D0-B5FC-6737F249D9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6CF-43D0-B5FC-6737F249D9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6CF-43D0-B5FC-6737F249D9E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Лист3!$A$63:$A$66</c:f>
              <c:strCache>
                <c:ptCount val="4"/>
                <c:pt idx="0">
                  <c:v>Отличники</c:v>
                </c:pt>
                <c:pt idx="1">
                  <c:v>Хорошисты</c:v>
                </c:pt>
                <c:pt idx="2">
                  <c:v>Троечники</c:v>
                </c:pt>
                <c:pt idx="3">
                  <c:v>Двоечники</c:v>
                </c:pt>
              </c:strCache>
            </c:strRef>
          </c:cat>
          <c:val>
            <c:numRef>
              <c:f>Лист3!$B$63:$B$66</c:f>
              <c:numCache>
                <c:formatCode>General</c:formatCode>
                <c:ptCount val="4"/>
                <c:pt idx="0">
                  <c:v>7</c:v>
                </c:pt>
                <c:pt idx="1">
                  <c:v>10</c:v>
                </c:pt>
                <c:pt idx="2">
                  <c:v>13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6-44D1-A0EF-975CD16CEDD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Отличников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C92-48D4-B948-6EBE7161C1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C92-48D4-B948-6EBE7161C1B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Лист3!$A$69:$A$70</c:f>
              <c:strCache>
                <c:ptCount val="2"/>
                <c:pt idx="0">
                  <c:v>Отличников</c:v>
                </c:pt>
                <c:pt idx="1">
                  <c:v>Остальные студенты</c:v>
                </c:pt>
              </c:strCache>
            </c:strRef>
          </c:cat>
          <c:val>
            <c:numRef>
              <c:f>Лист3!$B$69:$B$70</c:f>
              <c:numCache>
                <c:formatCode>General</c:formatCode>
                <c:ptCount val="2"/>
                <c:pt idx="0">
                  <c:v>7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81-4779-ABDC-4466201D958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Лист4!$A$2</c:f>
              <c:strCache>
                <c:ptCount val="1"/>
                <c:pt idx="0">
                  <c:v>-10</c:v>
                </c:pt>
              </c:strCache>
            </c:strRef>
          </c:tx>
          <c:invertIfNegative val="0"/>
          <c:cat>
            <c:numRef>
              <c:f>Лист4!$B$1</c:f>
              <c:numCache>
                <c:formatCode>General</c:formatCode>
                <c:ptCount val="1"/>
                <c:pt idx="0">
                  <c:v>-10</c:v>
                </c:pt>
              </c:numCache>
            </c:numRef>
          </c:cat>
          <c:val>
            <c:numRef>
              <c:f>Лист4!$B$2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0D-491E-A517-3596933D3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7439887"/>
        <c:axId val="2017439471"/>
      </c:barChart>
      <c:catAx>
        <c:axId val="201743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439471"/>
        <c:crosses val="autoZero"/>
        <c:auto val="1"/>
        <c:lblAlgn val="ctr"/>
        <c:lblOffset val="100"/>
        <c:noMultiLvlLbl val="0"/>
      </c:catAx>
      <c:valAx>
        <c:axId val="20174394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439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z=xy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Лист4!$A$2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Лист4!$B$1:$F$1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Лист4!$B$2:$F$2</c:f>
              <c:numCache>
                <c:formatCode>General</c:formatCode>
                <c:ptCount val="5"/>
                <c:pt idx="0">
                  <c:v>100</c:v>
                </c:pt>
                <c:pt idx="1">
                  <c:v>50</c:v>
                </c:pt>
                <c:pt idx="2">
                  <c:v>0</c:v>
                </c:pt>
                <c:pt idx="3">
                  <c:v>-50</c:v>
                </c:pt>
                <c:pt idx="4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D-46E5-BA8D-8B8B0B69DA09}"/>
            </c:ext>
          </c:extLst>
        </c:ser>
        <c:ser>
          <c:idx val="1"/>
          <c:order val="1"/>
          <c:tx>
            <c:strRef>
              <c:f>Лист4!$A$3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Лист4!$B$1:$F$1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Лист4!$B$3:$F$3</c:f>
              <c:numCache>
                <c:formatCode>General</c:formatCode>
                <c:ptCount val="5"/>
                <c:pt idx="0">
                  <c:v>50</c:v>
                </c:pt>
                <c:pt idx="1">
                  <c:v>25</c:v>
                </c:pt>
                <c:pt idx="2">
                  <c:v>0</c:v>
                </c:pt>
                <c:pt idx="3">
                  <c:v>-25</c:v>
                </c:pt>
                <c:pt idx="4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AD-46E5-BA8D-8B8B0B69DA09}"/>
            </c:ext>
          </c:extLst>
        </c:ser>
        <c:ser>
          <c:idx val="2"/>
          <c:order val="2"/>
          <c:tx>
            <c:strRef>
              <c:f>Лист4!$A$4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Лист4!$B$1:$F$1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Лист4!$B$4:$F$4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AD-46E5-BA8D-8B8B0B69DA09}"/>
            </c:ext>
          </c:extLst>
        </c:ser>
        <c:ser>
          <c:idx val="3"/>
          <c:order val="3"/>
          <c:tx>
            <c:strRef>
              <c:f>Лист4!$A$5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Лист4!$B$1:$F$1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Лист4!$B$5:$F$5</c:f>
              <c:numCache>
                <c:formatCode>General</c:formatCode>
                <c:ptCount val="5"/>
                <c:pt idx="0">
                  <c:v>-50</c:v>
                </c:pt>
                <c:pt idx="1">
                  <c:v>-25</c:v>
                </c:pt>
                <c:pt idx="2">
                  <c:v>0</c:v>
                </c:pt>
                <c:pt idx="3">
                  <c:v>25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AD-46E5-BA8D-8B8B0B69DA09}"/>
            </c:ext>
          </c:extLst>
        </c:ser>
        <c:ser>
          <c:idx val="4"/>
          <c:order val="4"/>
          <c:tx>
            <c:strRef>
              <c:f>Лист4!$A$6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Лист4!$B$1:$F$1</c:f>
              <c:numCache>
                <c:formatCode>General</c:formatCode>
                <c:ptCount val="5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cat>
          <c:val>
            <c:numRef>
              <c:f>Лист4!$B$6:$F$6</c:f>
              <c:numCache>
                <c:formatCode>General</c:formatCode>
                <c:ptCount val="5"/>
                <c:pt idx="0">
                  <c:v>-100</c:v>
                </c:pt>
                <c:pt idx="1">
                  <c:v>-50</c:v>
                </c:pt>
                <c:pt idx="2">
                  <c:v>0</c:v>
                </c:pt>
                <c:pt idx="3">
                  <c:v>50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AD-46E5-BA8D-8B8B0B69DA09}"/>
            </c:ext>
          </c:extLst>
        </c:ser>
        <c:bandFmts/>
        <c:axId val="1550200351"/>
        <c:axId val="1550198271"/>
        <c:axId val="1549719199"/>
      </c:surface3DChart>
      <c:catAx>
        <c:axId val="155020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0198271"/>
        <c:crosses val="autoZero"/>
        <c:auto val="1"/>
        <c:lblAlgn val="ctr"/>
        <c:lblOffset val="100"/>
        <c:noMultiLvlLbl val="0"/>
      </c:catAx>
      <c:valAx>
        <c:axId val="15501982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0200351"/>
        <c:crosses val="autoZero"/>
        <c:crossBetween val="midCat"/>
      </c:valAx>
      <c:serAx>
        <c:axId val="1549719199"/>
        <c:scaling>
          <c:orientation val="minMax"/>
        </c:scaling>
        <c:delete val="0"/>
        <c:axPos val="b"/>
        <c:majorTickMark val="out"/>
        <c:minorTickMark val="none"/>
        <c:tickLblPos val="nextTo"/>
        <c:crossAx val="1550198271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TextBox7.Text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Лист3!$A$2:$B$2</c:f>
              <c:strCache>
                <c:ptCount val="2"/>
                <c:pt idx="0">
                  <c:v>Группа</c:v>
                </c:pt>
                <c:pt idx="1">
                  <c:v>Ф.И.О. студента</c:v>
                </c:pt>
              </c:strCache>
            </c:strRef>
          </c:tx>
          <c:cat>
            <c:strRef>
              <c:f>Лист3!$C$1:$F$1</c:f>
              <c:strCache>
                <c:ptCount val="4"/>
                <c:pt idx="0">
                  <c:v>Философия</c:v>
                </c:pt>
                <c:pt idx="1">
                  <c:v>Информатика</c:v>
                </c:pt>
                <c:pt idx="2">
                  <c:v>Мат.анализ</c:v>
                </c:pt>
                <c:pt idx="3">
                  <c:v>Стипендия</c:v>
                </c:pt>
              </c:strCache>
            </c:strRef>
          </c:cat>
          <c:val>
            <c:numRef>
              <c:f>Лист3!$C$2:$F$2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C1D-4B76-86E2-E7CF7CA86BE3}"/>
            </c:ext>
          </c:extLst>
        </c:ser>
        <c:ser>
          <c:idx val="1"/>
          <c:order val="1"/>
          <c:tx>
            <c:strRef>
              <c:f>Лист3!$A$3:$B$3</c:f>
              <c:strCache>
                <c:ptCount val="2"/>
                <c:pt idx="0">
                  <c:v>ПМ-01</c:v>
                </c:pt>
                <c:pt idx="1">
                  <c:v>Азоновый К. К.</c:v>
                </c:pt>
              </c:strCache>
            </c:strRef>
          </c:tx>
          <c:cat>
            <c:strRef>
              <c:f>Лист3!$C$1:$F$1</c:f>
              <c:strCache>
                <c:ptCount val="4"/>
                <c:pt idx="0">
                  <c:v>Философия</c:v>
                </c:pt>
                <c:pt idx="1">
                  <c:v>Информатика</c:v>
                </c:pt>
                <c:pt idx="2">
                  <c:v>Мат.анализ</c:v>
                </c:pt>
                <c:pt idx="3">
                  <c:v>Стипендия</c:v>
                </c:pt>
              </c:strCache>
            </c:strRef>
          </c:cat>
          <c:val>
            <c:numRef>
              <c:f>Лист3!$C$3:$F$3</c:f>
              <c:numCache>
                <c:formatCode>0</c:formatCode>
                <c:ptCount val="4"/>
                <c:pt idx="0">
                  <c:v>5</c:v>
                </c:pt>
                <c:pt idx="1">
                  <c:v>2</c:v>
                </c:pt>
                <c:pt idx="2" formatCode="General">
                  <c:v>3</c:v>
                </c:pt>
                <c:pt idx="3" formatCode="#\ ##0.00\ &quot;р.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D-4B76-86E2-E7CF7CA86BE3}"/>
            </c:ext>
          </c:extLst>
        </c:ser>
        <c:ser>
          <c:idx val="2"/>
          <c:order val="2"/>
          <c:tx>
            <c:strRef>
              <c:f>Лист3!$A$4:$B$4</c:f>
              <c:strCache>
                <c:ptCount val="2"/>
                <c:pt idx="0">
                  <c:v>ПМ-01</c:v>
                </c:pt>
                <c:pt idx="1">
                  <c:v>Арсен Е. Н.</c:v>
                </c:pt>
              </c:strCache>
            </c:strRef>
          </c:tx>
          <c:cat>
            <c:strRef>
              <c:f>Лист3!$C$1:$F$1</c:f>
              <c:strCache>
                <c:ptCount val="4"/>
                <c:pt idx="0">
                  <c:v>Философия</c:v>
                </c:pt>
                <c:pt idx="1">
                  <c:v>Информатика</c:v>
                </c:pt>
                <c:pt idx="2">
                  <c:v>Мат.анализ</c:v>
                </c:pt>
                <c:pt idx="3">
                  <c:v>Стипендия</c:v>
                </c:pt>
              </c:strCache>
            </c:strRef>
          </c:cat>
          <c:val>
            <c:numRef>
              <c:f>Лист3!$C$4:$F$4</c:f>
              <c:numCache>
                <c:formatCode>0</c:formatCode>
                <c:ptCount val="4"/>
                <c:pt idx="0">
                  <c:v>4</c:v>
                </c:pt>
                <c:pt idx="1">
                  <c:v>4</c:v>
                </c:pt>
                <c:pt idx="2" formatCode="General">
                  <c:v>3</c:v>
                </c:pt>
                <c:pt idx="3" formatCode="#\ ##0.00\ &quot;р.&quot;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1D-4B76-86E2-E7CF7CA86BE3}"/>
            </c:ext>
          </c:extLst>
        </c:ser>
        <c:ser>
          <c:idx val="3"/>
          <c:order val="3"/>
          <c:tx>
            <c:strRef>
              <c:f>Лист3!$A$5:$B$5</c:f>
              <c:strCache>
                <c:ptCount val="2"/>
                <c:pt idx="0">
                  <c:v>ПМ-01</c:v>
                </c:pt>
                <c:pt idx="1">
                  <c:v>Велес В. Д.</c:v>
                </c:pt>
              </c:strCache>
            </c:strRef>
          </c:tx>
          <c:cat>
            <c:strRef>
              <c:f>Лист3!$C$1:$F$1</c:f>
              <c:strCache>
                <c:ptCount val="4"/>
                <c:pt idx="0">
                  <c:v>Философия</c:v>
                </c:pt>
                <c:pt idx="1">
                  <c:v>Информатика</c:v>
                </c:pt>
                <c:pt idx="2">
                  <c:v>Мат.анализ</c:v>
                </c:pt>
                <c:pt idx="3">
                  <c:v>Стипендия</c:v>
                </c:pt>
              </c:strCache>
            </c:strRef>
          </c:cat>
          <c:val>
            <c:numRef>
              <c:f>Лист3!$C$5:$F$5</c:f>
              <c:numCache>
                <c:formatCode>0</c:formatCode>
                <c:ptCount val="4"/>
                <c:pt idx="0">
                  <c:v>5</c:v>
                </c:pt>
                <c:pt idx="1">
                  <c:v>4</c:v>
                </c:pt>
                <c:pt idx="2" formatCode="General">
                  <c:v>3</c:v>
                </c:pt>
                <c:pt idx="3" formatCode="#\ ##0.00\ &quot;р.&quot;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1D-4B76-86E2-E7CF7CA86BE3}"/>
            </c:ext>
          </c:extLst>
        </c:ser>
        <c:ser>
          <c:idx val="4"/>
          <c:order val="4"/>
          <c:tx>
            <c:strRef>
              <c:f>Лист3!$A$6:$B$6</c:f>
              <c:strCache>
                <c:ptCount val="2"/>
                <c:pt idx="0">
                  <c:v>ПМ-01</c:v>
                </c:pt>
                <c:pt idx="1">
                  <c:v>Григорович Я. В.</c:v>
                </c:pt>
              </c:strCache>
            </c:strRef>
          </c:tx>
          <c:cat>
            <c:strRef>
              <c:f>Лист3!$C$1:$F$1</c:f>
              <c:strCache>
                <c:ptCount val="4"/>
                <c:pt idx="0">
                  <c:v>Философия</c:v>
                </c:pt>
                <c:pt idx="1">
                  <c:v>Информатика</c:v>
                </c:pt>
                <c:pt idx="2">
                  <c:v>Мат.анализ</c:v>
                </c:pt>
                <c:pt idx="3">
                  <c:v>Стипендия</c:v>
                </c:pt>
              </c:strCache>
            </c:strRef>
          </c:cat>
          <c:val>
            <c:numRef>
              <c:f>Лист3!$C$6:$F$6</c:f>
              <c:numCache>
                <c:formatCode>0</c:formatCode>
                <c:ptCount val="4"/>
                <c:pt idx="0">
                  <c:v>5</c:v>
                </c:pt>
                <c:pt idx="1">
                  <c:v>4</c:v>
                </c:pt>
                <c:pt idx="2" formatCode="General">
                  <c:v>4</c:v>
                </c:pt>
                <c:pt idx="3" formatCode="#\ ##0.00\ &quot;р.&quot;">
                  <c:v>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1D-4B76-86E2-E7CF7CA86BE3}"/>
            </c:ext>
          </c:extLst>
        </c:ser>
        <c:bandFmts/>
        <c:axId val="1599565935"/>
        <c:axId val="1599566767"/>
        <c:axId val="164001343"/>
      </c:surface3DChart>
      <c:catAx>
        <c:axId val="1599565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9566767"/>
        <c:crosses val="autoZero"/>
        <c:auto val="1"/>
        <c:lblAlgn val="ctr"/>
        <c:lblOffset val="100"/>
        <c:noMultiLvlLbl val="0"/>
      </c:catAx>
      <c:valAx>
        <c:axId val="15995667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9565935"/>
        <c:crosses val="autoZero"/>
        <c:crossBetween val="midCat"/>
      </c:valAx>
      <c:serAx>
        <c:axId val="164001343"/>
        <c:scaling>
          <c:orientation val="minMax"/>
        </c:scaling>
        <c:delete val="0"/>
        <c:axPos val="b"/>
        <c:majorTickMark val="out"/>
        <c:minorTickMark val="none"/>
        <c:tickLblPos val="nextTo"/>
        <c:crossAx val="1599566767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Z=XY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87C-48D8-8F5C-13FB2DB3C409}"/>
            </c:ext>
          </c:extLst>
        </c:ser>
        <c:ser>
          <c:idx val="1"/>
          <c:order val="1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87C-48D8-8F5C-13FB2DB3C409}"/>
            </c:ext>
          </c:extLst>
        </c:ser>
        <c:ser>
          <c:idx val="2"/>
          <c:order val="2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787C-48D8-8F5C-13FB2DB3C409}"/>
            </c:ext>
          </c:extLst>
        </c:ser>
        <c:ser>
          <c:idx val="3"/>
          <c:order val="3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787C-48D8-8F5C-13FB2DB3C409}"/>
            </c:ext>
          </c:extLst>
        </c:ser>
        <c:ser>
          <c:idx val="4"/>
          <c:order val="4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787C-48D8-8F5C-13FB2DB3C409}"/>
            </c:ext>
          </c:extLst>
        </c:ser>
        <c:bandFmts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906147152"/>
        <c:axId val="906145904"/>
        <c:axId val="901467072"/>
      </c:surface3DChart>
      <c:catAx>
        <c:axId val="90614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6145904"/>
        <c:crosses val="autoZero"/>
        <c:auto val="1"/>
        <c:lblAlgn val="ctr"/>
        <c:lblOffset val="100"/>
        <c:noMultiLvlLbl val="0"/>
      </c:catAx>
      <c:valAx>
        <c:axId val="90614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6147152"/>
        <c:crosses val="autoZero"/>
        <c:crossBetween val="midCat"/>
      </c:valAx>
      <c:serAx>
        <c:axId val="901467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61459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whaatT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C36-48BD-890D-DCD9D53CF6C6}"/>
            </c:ext>
          </c:extLst>
        </c:ser>
        <c:ser>
          <c:idx val="1"/>
          <c:order val="1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C36-48BD-890D-DCD9D53CF6C6}"/>
            </c:ext>
          </c:extLst>
        </c:ser>
        <c:ser>
          <c:idx val="2"/>
          <c:order val="2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C36-48BD-890D-DCD9D53CF6C6}"/>
            </c:ext>
          </c:extLst>
        </c:ser>
        <c:ser>
          <c:idx val="3"/>
          <c:order val="3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C36-48BD-890D-DCD9D53CF6C6}"/>
            </c:ext>
          </c:extLst>
        </c:ser>
        <c:bandFmts/>
        <c:axId val="2036081231"/>
        <c:axId val="2036078319"/>
        <c:axId val="2034570335"/>
      </c:surface3DChart>
      <c:catAx>
        <c:axId val="2036081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6078319"/>
        <c:crosses val="autoZero"/>
        <c:auto val="1"/>
        <c:lblAlgn val="ctr"/>
        <c:lblOffset val="100"/>
        <c:noMultiLvlLbl val="0"/>
      </c:catAx>
      <c:valAx>
        <c:axId val="20360783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6081231"/>
        <c:crosses val="autoZero"/>
        <c:crossBetween val="midCat"/>
      </c:valAx>
      <c:serAx>
        <c:axId val="2034570335"/>
        <c:scaling>
          <c:orientation val="minMax"/>
        </c:scaling>
        <c:delete val="0"/>
        <c:axPos val="b"/>
        <c:majorTickMark val="out"/>
        <c:minorTickMark val="none"/>
        <c:tickLblPos val="nextTo"/>
        <c:crossAx val="2036078319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80697C-6B19-49B0-B951-BE92CFBBE287}">
  <sheetPr/>
  <sheetViews>
    <sheetView zoomScale="9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509031-56FE-4CE8-A222-9E2A9797B562}">
  <sheetPr/>
  <sheetViews>
    <sheetView zoomScale="9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5DA396-06A4-43B4-8E4D-7295D00F8DD7}">
  <sheetPr codeName="Диаграмма12"/>
  <sheetViews>
    <sheetView zoomScale="9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CBB557-4FD6-4229-81BB-56E2CFDDA179}">
  <sheetPr codeName="Диаграмма1"/>
  <sheetViews>
    <sheetView zoomScale="9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908C48-2605-4BAE-B896-2545E96BCC3B}">
  <sheetPr codeName="Диаграмма6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563880</xdr:colOff>
      <xdr:row>7</xdr:row>
      <xdr:rowOff>15240</xdr:rowOff>
    </xdr:from>
    <xdr:to>
      <xdr:col>10</xdr:col>
      <xdr:colOff>114300</xdr:colOff>
      <xdr:row>29</xdr:row>
      <xdr:rowOff>129540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27</xdr:row>
      <xdr:rowOff>104774</xdr:rowOff>
    </xdr:from>
    <xdr:to>
      <xdr:col>22</xdr:col>
      <xdr:colOff>60960</xdr:colOff>
      <xdr:row>53</xdr:row>
      <xdr:rowOff>68580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82261</xdr:colOff>
      <xdr:row>44</xdr:row>
      <xdr:rowOff>130753</xdr:rowOff>
    </xdr:from>
    <xdr:to>
      <xdr:col>7</xdr:col>
      <xdr:colOff>965489</xdr:colOff>
      <xdr:row>59</xdr:row>
      <xdr:rowOff>146339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DFB3F49-FEEB-46C9-8647-E780F6C46B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1240502</xdr:colOff>
      <xdr:row>44</xdr:row>
      <xdr:rowOff>135255</xdr:rowOff>
    </xdr:from>
    <xdr:to>
      <xdr:col>12</xdr:col>
      <xdr:colOff>591070</xdr:colOff>
      <xdr:row>59</xdr:row>
      <xdr:rowOff>150841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AEFCCB-B3D2-4C8C-9346-D7E76DDC8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81222</xdr:colOff>
      <xdr:row>60</xdr:row>
      <xdr:rowOff>86072</xdr:rowOff>
    </xdr:from>
    <xdr:to>
      <xdr:col>7</xdr:col>
      <xdr:colOff>964450</xdr:colOff>
      <xdr:row>75</xdr:row>
      <xdr:rowOff>101658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DCD9CA2-A69A-455A-AC0F-D5F6740D6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1242060</xdr:colOff>
      <xdr:row>60</xdr:row>
      <xdr:rowOff>106680</xdr:rowOff>
    </xdr:from>
    <xdr:to>
      <xdr:col>12</xdr:col>
      <xdr:colOff>594360</xdr:colOff>
      <xdr:row>75</xdr:row>
      <xdr:rowOff>106680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CEC3F81-E392-4B39-A3F0-355D516DC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83FD9F-F46A-4FD4-8FD3-B02052D5A47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002A0BD-76C8-4072-BDF0-AACE2091B0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69BB1E9-90E5-411E-B389-4E6F20C686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B5938F9-6810-4B3B-ACE8-19BA038858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C77A15D-97C1-4CF3-96D0-733F9EBBF6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il Sidorov" refreshedDate="44533.862659143517" createdVersion="7" refreshedVersion="7" minRefreshableVersion="3" recordCount="41" xr:uid="{8F80BAFB-53DC-4F14-862B-8B43ACF7F8F4}">
  <cacheSource type="worksheet">
    <worksheetSource ref="A1:E42" sheet="Лист3"/>
  </cacheSource>
  <cacheFields count="5">
    <cacheField name="Группа" numFmtId="0">
      <sharedItems containsBlank="1" count="3">
        <m/>
        <s v="ПМ-01"/>
        <s v="ПМИ-01"/>
      </sharedItems>
    </cacheField>
    <cacheField name="Ф.И.О студента" numFmtId="0">
      <sharedItems containsBlank="1" count="41">
        <m/>
        <s v="Азоновый К. К."/>
        <s v="Арсен Е. Н."/>
        <s v="Велес В. Д."/>
        <s v="Григорович Я. В."/>
        <s v="Гусеева К. Н."/>
        <s v="Достоевский В. К."/>
        <s v="Жилина Е. А."/>
        <s v="Жириновский Е. З."/>
        <s v="Зинченко Л. И."/>
        <s v="Ильбанова Ш. Н."/>
        <s v="Кулнок Ю. С."/>
        <s v="Лимиченко А. А."/>
        <s v="Онов К. К."/>
        <s v="Орков Г. У."/>
        <s v="Останин Ж. У."/>
        <s v="Улич П. В."/>
        <s v="Филиппов К. Н."/>
        <s v="Хамов А. Д."/>
        <s v="Чернов А. А."/>
        <s v="Яров У. Т."/>
        <s v="Акилин А. А."/>
        <s v="Арыков Е. Н."/>
        <s v="Батрудинов П. Р."/>
        <s v="Быков З. З."/>
        <s v="Закраев Ш. К."/>
        <s v="Зеленский А. К."/>
        <s v="Ивлеева А. Н."/>
        <s v="Кел М. Г."/>
        <s v="Копчин Ю. П."/>
        <s v="Листопадова Н. Н."/>
        <s v="Макаров Н. Г."/>
        <s v="Мироева Е. У."/>
        <s v="Никитин Р. В."/>
        <s v="Ноксов П. П."/>
        <s v="Опорный Ц. Э."/>
        <s v="Павлов Р .П."/>
        <s v="Рыков З.З."/>
        <s v="Саломон А. К."/>
        <s v="Сенченко В. Э."/>
        <s v="Юникрон П. А."/>
      </sharedItems>
    </cacheField>
    <cacheField name="Философия" numFmtId="0">
      <sharedItems containsString="0" containsBlank="1" containsNumber="1" containsInteger="1" minValue="2" maxValue="5" count="5">
        <m/>
        <n v="5"/>
        <n v="4"/>
        <n v="2"/>
        <n v="3"/>
      </sharedItems>
    </cacheField>
    <cacheField name="Информатика" numFmtId="0">
      <sharedItems containsString="0" containsBlank="1" containsNumber="1" containsInteger="1" minValue="2" maxValue="5" count="5">
        <m/>
        <n v="2"/>
        <n v="4"/>
        <n v="5"/>
        <n v="3"/>
      </sharedItems>
    </cacheField>
    <cacheField name="Мат.анализ" numFmtId="0">
      <sharedItems containsString="0" containsBlank="1" containsNumber="1" containsInteger="1" minValue="2" maxValue="5" count="5">
        <m/>
        <n v="3"/>
        <n v="4"/>
        <n v="5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x v="0"/>
    <x v="0"/>
  </r>
  <r>
    <x v="1"/>
    <x v="1"/>
    <x v="1"/>
    <x v="1"/>
    <x v="1"/>
  </r>
  <r>
    <x v="1"/>
    <x v="2"/>
    <x v="2"/>
    <x v="2"/>
    <x v="1"/>
  </r>
  <r>
    <x v="1"/>
    <x v="3"/>
    <x v="1"/>
    <x v="2"/>
    <x v="1"/>
  </r>
  <r>
    <x v="1"/>
    <x v="4"/>
    <x v="1"/>
    <x v="2"/>
    <x v="2"/>
  </r>
  <r>
    <x v="1"/>
    <x v="5"/>
    <x v="1"/>
    <x v="3"/>
    <x v="3"/>
  </r>
  <r>
    <x v="1"/>
    <x v="6"/>
    <x v="1"/>
    <x v="1"/>
    <x v="1"/>
  </r>
  <r>
    <x v="1"/>
    <x v="7"/>
    <x v="2"/>
    <x v="4"/>
    <x v="1"/>
  </r>
  <r>
    <x v="1"/>
    <x v="8"/>
    <x v="2"/>
    <x v="2"/>
    <x v="2"/>
  </r>
  <r>
    <x v="1"/>
    <x v="9"/>
    <x v="2"/>
    <x v="3"/>
    <x v="3"/>
  </r>
  <r>
    <x v="1"/>
    <x v="10"/>
    <x v="1"/>
    <x v="3"/>
    <x v="3"/>
  </r>
  <r>
    <x v="1"/>
    <x v="11"/>
    <x v="2"/>
    <x v="3"/>
    <x v="3"/>
  </r>
  <r>
    <x v="1"/>
    <x v="12"/>
    <x v="3"/>
    <x v="1"/>
    <x v="4"/>
  </r>
  <r>
    <x v="1"/>
    <x v="13"/>
    <x v="3"/>
    <x v="1"/>
    <x v="1"/>
  </r>
  <r>
    <x v="1"/>
    <x v="14"/>
    <x v="4"/>
    <x v="4"/>
    <x v="2"/>
  </r>
  <r>
    <x v="1"/>
    <x v="15"/>
    <x v="3"/>
    <x v="1"/>
    <x v="4"/>
  </r>
  <r>
    <x v="1"/>
    <x v="16"/>
    <x v="4"/>
    <x v="4"/>
    <x v="2"/>
  </r>
  <r>
    <x v="1"/>
    <x v="17"/>
    <x v="3"/>
    <x v="4"/>
    <x v="1"/>
  </r>
  <r>
    <x v="1"/>
    <x v="18"/>
    <x v="1"/>
    <x v="2"/>
    <x v="3"/>
  </r>
  <r>
    <x v="1"/>
    <x v="19"/>
    <x v="1"/>
    <x v="3"/>
    <x v="3"/>
  </r>
  <r>
    <x v="1"/>
    <x v="20"/>
    <x v="1"/>
    <x v="3"/>
    <x v="3"/>
  </r>
  <r>
    <x v="2"/>
    <x v="21"/>
    <x v="1"/>
    <x v="3"/>
    <x v="3"/>
  </r>
  <r>
    <x v="2"/>
    <x v="22"/>
    <x v="3"/>
    <x v="1"/>
    <x v="4"/>
  </r>
  <r>
    <x v="2"/>
    <x v="23"/>
    <x v="2"/>
    <x v="2"/>
    <x v="3"/>
  </r>
  <r>
    <x v="2"/>
    <x v="24"/>
    <x v="2"/>
    <x v="2"/>
    <x v="3"/>
  </r>
  <r>
    <x v="2"/>
    <x v="25"/>
    <x v="1"/>
    <x v="2"/>
    <x v="1"/>
  </r>
  <r>
    <x v="2"/>
    <x v="26"/>
    <x v="3"/>
    <x v="1"/>
    <x v="1"/>
  </r>
  <r>
    <x v="2"/>
    <x v="27"/>
    <x v="1"/>
    <x v="3"/>
    <x v="3"/>
  </r>
  <r>
    <x v="2"/>
    <x v="28"/>
    <x v="2"/>
    <x v="4"/>
    <x v="2"/>
  </r>
  <r>
    <x v="2"/>
    <x v="29"/>
    <x v="2"/>
    <x v="3"/>
    <x v="2"/>
  </r>
  <r>
    <x v="2"/>
    <x v="30"/>
    <x v="4"/>
    <x v="2"/>
    <x v="3"/>
  </r>
  <r>
    <x v="2"/>
    <x v="31"/>
    <x v="4"/>
    <x v="2"/>
    <x v="2"/>
  </r>
  <r>
    <x v="2"/>
    <x v="32"/>
    <x v="1"/>
    <x v="3"/>
    <x v="3"/>
  </r>
  <r>
    <x v="2"/>
    <x v="33"/>
    <x v="4"/>
    <x v="4"/>
    <x v="1"/>
  </r>
  <r>
    <x v="2"/>
    <x v="34"/>
    <x v="3"/>
    <x v="4"/>
    <x v="4"/>
  </r>
  <r>
    <x v="2"/>
    <x v="35"/>
    <x v="3"/>
    <x v="1"/>
    <x v="4"/>
  </r>
  <r>
    <x v="2"/>
    <x v="36"/>
    <x v="4"/>
    <x v="2"/>
    <x v="2"/>
  </r>
  <r>
    <x v="2"/>
    <x v="37"/>
    <x v="4"/>
    <x v="4"/>
    <x v="1"/>
  </r>
  <r>
    <x v="2"/>
    <x v="38"/>
    <x v="1"/>
    <x v="2"/>
    <x v="2"/>
  </r>
  <r>
    <x v="2"/>
    <x v="39"/>
    <x v="2"/>
    <x v="2"/>
    <x v="2"/>
  </r>
  <r>
    <x v="2"/>
    <x v="40"/>
    <x v="4"/>
    <x v="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E6FA8-9211-4D74-A94B-3D5E077F7561}" name="Сводная таблица5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rowHeaderCaption="Отличники">
  <location ref="A5:A15" firstHeaderRow="1" firstDataRow="1" firstDataCol="1" rowPageCount="3" colPageCount="1"/>
  <pivotFields count="5">
    <pivotField axis="axisRow" showAll="0">
      <items count="4">
        <item x="1"/>
        <item x="2"/>
        <item x="0"/>
        <item t="default"/>
      </items>
    </pivotField>
    <pivotField axis="axisRow" showAll="0">
      <items count="42">
        <item x="1"/>
        <item x="21"/>
        <item x="2"/>
        <item x="22"/>
        <item x="23"/>
        <item x="24"/>
        <item x="3"/>
        <item x="4"/>
        <item x="5"/>
        <item x="6"/>
        <item x="7"/>
        <item x="8"/>
        <item x="25"/>
        <item x="26"/>
        <item x="9"/>
        <item x="27"/>
        <item x="10"/>
        <item x="28"/>
        <item x="29"/>
        <item x="11"/>
        <item x="12"/>
        <item x="30"/>
        <item x="31"/>
        <item x="32"/>
        <item x="33"/>
        <item x="34"/>
        <item x="13"/>
        <item x="35"/>
        <item x="14"/>
        <item x="15"/>
        <item x="36"/>
        <item x="37"/>
        <item x="38"/>
        <item x="39"/>
        <item x="16"/>
        <item x="17"/>
        <item x="18"/>
        <item x="19"/>
        <item x="40"/>
        <item x="20"/>
        <item x="0"/>
        <item t="default"/>
      </items>
    </pivotField>
    <pivotField axis="axisPage" showAll="0">
      <items count="6">
        <item x="3"/>
        <item x="4"/>
        <item x="2"/>
        <item x="1"/>
        <item x="0"/>
        <item t="default"/>
      </items>
    </pivotField>
    <pivotField axis="axisPage" showAll="0">
      <items count="6">
        <item x="1"/>
        <item x="4"/>
        <item x="2"/>
        <item x="3"/>
        <item x="0"/>
        <item t="default"/>
      </items>
    </pivotField>
    <pivotField axis="axisPage" showAll="0">
      <items count="6">
        <item x="4"/>
        <item x="1"/>
        <item x="2"/>
        <item x="3"/>
        <item x="0"/>
        <item t="default"/>
      </items>
    </pivotField>
  </pivotFields>
  <rowFields count="2">
    <field x="0"/>
    <field x="1"/>
  </rowFields>
  <rowItems count="10">
    <i>
      <x/>
    </i>
    <i r="1">
      <x v="8"/>
    </i>
    <i r="1">
      <x v="16"/>
    </i>
    <i r="1">
      <x v="37"/>
    </i>
    <i r="1">
      <x v="39"/>
    </i>
    <i>
      <x v="1"/>
    </i>
    <i r="1">
      <x v="1"/>
    </i>
    <i r="1">
      <x v="15"/>
    </i>
    <i r="1">
      <x v="23"/>
    </i>
    <i t="grand">
      <x/>
    </i>
  </rowItems>
  <colItems count="1">
    <i/>
  </colItems>
  <pageFields count="3">
    <pageField fld="2" item="3" hier="-1"/>
    <pageField fld="3" item="3" hier="-1"/>
    <pageField fld="4" item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9"/>
  <sheetViews>
    <sheetView workbookViewId="0">
      <selection activeCell="O7" sqref="O7"/>
    </sheetView>
  </sheetViews>
  <sheetFormatPr defaultRowHeight="14.4" x14ac:dyDescent="0.3"/>
  <sheetData>
    <row r="1" spans="1:12" x14ac:dyDescent="0.3">
      <c r="A1" s="48"/>
      <c r="B1" s="3">
        <v>-10</v>
      </c>
      <c r="C1" s="3">
        <v>-5</v>
      </c>
      <c r="D1" s="3">
        <v>0</v>
      </c>
      <c r="E1" s="3">
        <v>5</v>
      </c>
      <c r="F1" s="3">
        <v>10</v>
      </c>
      <c r="H1" s="21" t="s">
        <v>38</v>
      </c>
    </row>
    <row r="2" spans="1:12" x14ac:dyDescent="0.3">
      <c r="A2" s="4">
        <v>-10</v>
      </c>
      <c r="B2" s="5">
        <f>Func_graph(B1,A2)</f>
        <v>100</v>
      </c>
      <c r="C2" s="5">
        <f>Func_graph(C1,A2)</f>
        <v>50</v>
      </c>
      <c r="D2" s="5">
        <f>Func_graph(D1,A2)</f>
        <v>0</v>
      </c>
      <c r="E2" s="5">
        <f>Func_graph(E1,A2)</f>
        <v>-50</v>
      </c>
      <c r="F2" s="5">
        <f>Func_graph(F1,A2)</f>
        <v>-100</v>
      </c>
      <c r="H2" s="22" t="s">
        <v>39</v>
      </c>
    </row>
    <row r="3" spans="1:12" x14ac:dyDescent="0.3">
      <c r="A3" s="4">
        <v>-5</v>
      </c>
      <c r="B3" s="5">
        <f>Func_graph(B1,A3)</f>
        <v>50</v>
      </c>
      <c r="C3" s="5">
        <f>Func_graph(C1,A3)</f>
        <v>25</v>
      </c>
      <c r="D3" s="5">
        <f>Func_graph(D1,A3)</f>
        <v>0</v>
      </c>
      <c r="E3" s="5">
        <f>Func_graph(E1,A3)</f>
        <v>-25</v>
      </c>
      <c r="F3" s="5">
        <f>Func_graph(F1,A3)</f>
        <v>-50</v>
      </c>
      <c r="H3" s="23" t="s">
        <v>40</v>
      </c>
    </row>
    <row r="4" spans="1:12" x14ac:dyDescent="0.3">
      <c r="A4" s="4">
        <v>0</v>
      </c>
      <c r="B4" s="5">
        <f>Func_graph(B1,A4)</f>
        <v>0</v>
      </c>
      <c r="C4" s="5">
        <f>Func_graph(C1,A4)</f>
        <v>0</v>
      </c>
      <c r="D4" s="5">
        <f>Func_graph(D1,A4)</f>
        <v>0</v>
      </c>
      <c r="E4" s="5">
        <f>Func_graph(E1,A4)</f>
        <v>0</v>
      </c>
      <c r="F4" s="5">
        <f>Func_graph(F1,A4)</f>
        <v>0</v>
      </c>
      <c r="H4" s="24"/>
      <c r="I4" s="1"/>
      <c r="J4" s="1"/>
      <c r="K4" s="1"/>
      <c r="L4" s="1"/>
    </row>
    <row r="5" spans="1:12" x14ac:dyDescent="0.3">
      <c r="A5" s="4">
        <v>5</v>
      </c>
      <c r="B5" s="5">
        <f>Func_graph(B1,A5)</f>
        <v>-50</v>
      </c>
      <c r="C5" s="5">
        <f>Func_graph(C1,A5)</f>
        <v>-25</v>
      </c>
      <c r="D5" s="5">
        <f>Func_graph(D1,A5)</f>
        <v>0</v>
      </c>
      <c r="E5" s="5">
        <f>Func_graph(E1,A5)</f>
        <v>25</v>
      </c>
      <c r="F5" s="5">
        <f>Func_graph(F1,A5)</f>
        <v>50</v>
      </c>
      <c r="I5" s="2"/>
      <c r="J5" s="2"/>
      <c r="K5" s="2"/>
      <c r="L5" s="2"/>
    </row>
    <row r="6" spans="1:12" x14ac:dyDescent="0.3">
      <c r="A6" s="4">
        <v>10</v>
      </c>
      <c r="B6" s="5">
        <f>Func_graph(B1,A6)</f>
        <v>-100</v>
      </c>
      <c r="C6" s="5">
        <f>Func_graph(C1,A6)</f>
        <v>-50</v>
      </c>
      <c r="D6" s="5">
        <f>Func_graph(D1,A6)</f>
        <v>0</v>
      </c>
      <c r="E6" s="5">
        <f>Func_graph(E1,A6)</f>
        <v>50</v>
      </c>
      <c r="F6" s="5">
        <f>Func_graph(F1,A6)</f>
        <v>100</v>
      </c>
      <c r="I6" s="2"/>
      <c r="J6" s="2"/>
      <c r="K6" s="2"/>
      <c r="L6" s="2"/>
    </row>
    <row r="7" spans="1:12" x14ac:dyDescent="0.3">
      <c r="I7" s="2"/>
      <c r="J7" s="2"/>
      <c r="K7" s="2"/>
      <c r="L7" s="2"/>
    </row>
    <row r="8" spans="1:12" x14ac:dyDescent="0.3">
      <c r="I8" s="2"/>
      <c r="J8" s="2"/>
      <c r="K8" s="2"/>
      <c r="L8" s="2"/>
    </row>
    <row r="9" spans="1:12" x14ac:dyDescent="0.3">
      <c r="I9" s="2"/>
      <c r="J9" s="2"/>
      <c r="K9" s="2"/>
      <c r="L9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26"/>
  <sheetViews>
    <sheetView workbookViewId="0">
      <selection activeCell="H2" sqref="H2"/>
    </sheetView>
  </sheetViews>
  <sheetFormatPr defaultRowHeight="14.4" x14ac:dyDescent="0.3"/>
  <cols>
    <col min="5" max="6" width="9.109375" customWidth="1"/>
    <col min="7" max="7" width="8.6640625" customWidth="1"/>
  </cols>
  <sheetData>
    <row r="1" spans="1:15" x14ac:dyDescent="0.3">
      <c r="A1" s="6" t="s">
        <v>6</v>
      </c>
      <c r="B1" s="7" t="s">
        <v>0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27"/>
    </row>
    <row r="2" spans="1:15" x14ac:dyDescent="0.3">
      <c r="A2" s="6">
        <v>1</v>
      </c>
      <c r="B2" s="8">
        <v>0.5</v>
      </c>
      <c r="C2" s="8">
        <v>1</v>
      </c>
      <c r="D2" s="8">
        <f t="shared" ref="D2" si="0">(B2+C2)/2</f>
        <v>0.75</v>
      </c>
      <c r="E2" s="28">
        <f t="shared" ref="E2" si="1">_xlfn.COT(B2)-B2*B2</f>
        <v>1.580487721712452</v>
      </c>
      <c r="F2" s="28">
        <f t="shared" ref="F2" si="2">_xlfn.COT(C2)-C2*C2</f>
        <v>-0.35790738406566935</v>
      </c>
      <c r="G2" s="29">
        <f t="shared" ref="G2" si="3">_xlfn.COT(D2)-D2*D2</f>
        <v>0.51092614854937723</v>
      </c>
      <c r="H2" s="47">
        <v>0.01</v>
      </c>
      <c r="I2" s="2"/>
      <c r="L2">
        <v>0.5</v>
      </c>
      <c r="M2">
        <v>1</v>
      </c>
    </row>
    <row r="3" spans="1:15" x14ac:dyDescent="0.3">
      <c r="A3" s="6">
        <v>2</v>
      </c>
      <c r="B3" s="8">
        <f>IF(G2="","",IF(ABS(G2)&lt;$H$2,"",IF(E2*G2&lt;0,B2,D2)))</f>
        <v>0.75</v>
      </c>
      <c r="C3" s="8">
        <f>IF(G2="","",IF(ABS(G2)&lt;$H$2,"",IF(E2*G2&lt;0,D2,C2)))</f>
        <v>1</v>
      </c>
      <c r="D3" s="8">
        <f>IF(G2="","",IF(ABS(G2)&lt;$H$2,"",(B3+C3)/2))</f>
        <v>0.875</v>
      </c>
      <c r="E3" s="28">
        <f>IF(G2="","",IF(ABS(G2)&lt;$H$2,"",_xlfn.COT(B3)-B3*B3))</f>
        <v>0.51092614854937723</v>
      </c>
      <c r="F3" s="28">
        <f>IF(G2="","",IF(ABS(G2)&lt;$H$2,"",_xlfn.COT(C3)-C3*C3))</f>
        <v>-0.35790738406566935</v>
      </c>
      <c r="G3" s="29">
        <f>_xlfn.COT(D3)-D3*D3</f>
        <v>6.9502724091151769E-2</v>
      </c>
      <c r="H3" s="2"/>
      <c r="I3" s="2"/>
      <c r="L3">
        <v>3</v>
      </c>
      <c r="M3">
        <v>3.5</v>
      </c>
    </row>
    <row r="4" spans="1:15" x14ac:dyDescent="0.3">
      <c r="A4" s="6">
        <v>3</v>
      </c>
      <c r="B4" s="8">
        <f t="shared" ref="B4:B9" si="4">IF(G3="","",IF(ABS(G3)&lt;$H$2,"",IF(E3*G3&lt;0,B3,D3)))</f>
        <v>0.875</v>
      </c>
      <c r="C4" s="8">
        <f t="shared" ref="C4:C9" si="5">IF(G3="","",IF(ABS(G3)&lt;$H$2,"",IF(E3*G3&lt;0,D3,C3)))</f>
        <v>1</v>
      </c>
      <c r="D4" s="8">
        <f t="shared" ref="D4:D9" si="6">IF(G3="","",IF(ABS(G3)&lt;$H$2,"",(B4+C4)/2))</f>
        <v>0.9375</v>
      </c>
      <c r="E4" s="28">
        <f t="shared" ref="E4:E8" si="7">IF(G3="","",IF(ABS(G3)&lt;$H$2,"",_xlfn.COT(B4)-B4*B4))</f>
        <v>6.9502724091151769E-2</v>
      </c>
      <c r="F4" s="28">
        <f t="shared" ref="F4:F8" si="8">IF(G3="","",IF(ABS(G3)&lt;$H$2,"",_xlfn.COT(C4)-C4*C4))</f>
        <v>-0.35790738406566935</v>
      </c>
      <c r="G4" s="29">
        <f t="shared" ref="G4:G8" si="9">_xlfn.COT(D4)-D4*D4</f>
        <v>-0.14473065770825866</v>
      </c>
      <c r="H4" s="2"/>
      <c r="I4" s="2"/>
      <c r="L4">
        <v>-3</v>
      </c>
      <c r="M4">
        <v>-3</v>
      </c>
    </row>
    <row r="5" spans="1:15" x14ac:dyDescent="0.3">
      <c r="A5" s="6">
        <v>4</v>
      </c>
      <c r="B5" s="8">
        <f t="shared" si="4"/>
        <v>0.875</v>
      </c>
      <c r="C5" s="8">
        <f t="shared" si="5"/>
        <v>0.9375</v>
      </c>
      <c r="D5" s="8">
        <f t="shared" si="6"/>
        <v>0.90625</v>
      </c>
      <c r="E5" s="28">
        <f t="shared" si="7"/>
        <v>6.9502724091151769E-2</v>
      </c>
      <c r="F5" s="28">
        <f t="shared" si="8"/>
        <v>-0.14473065770825866</v>
      </c>
      <c r="G5" s="29">
        <f t="shared" si="9"/>
        <v>-3.7873548385318978E-2</v>
      </c>
      <c r="H5" s="2"/>
      <c r="I5" s="2"/>
      <c r="J5" s="2"/>
    </row>
    <row r="6" spans="1:15" x14ac:dyDescent="0.3">
      <c r="A6" s="6">
        <v>5</v>
      </c>
      <c r="B6" s="8">
        <f t="shared" si="4"/>
        <v>0.875</v>
      </c>
      <c r="C6" s="8">
        <f t="shared" si="5"/>
        <v>0.90625</v>
      </c>
      <c r="D6" s="8">
        <f t="shared" si="6"/>
        <v>0.890625</v>
      </c>
      <c r="E6" s="28">
        <f t="shared" si="7"/>
        <v>6.9502724091151769E-2</v>
      </c>
      <c r="F6" s="28">
        <f t="shared" si="8"/>
        <v>-3.7873548385318978E-2</v>
      </c>
      <c r="G6" s="29">
        <f t="shared" si="9"/>
        <v>1.5731886861913735E-2</v>
      </c>
      <c r="H6" s="2"/>
      <c r="I6" s="2"/>
    </row>
    <row r="7" spans="1:15" x14ac:dyDescent="0.3">
      <c r="A7" s="6">
        <v>6</v>
      </c>
      <c r="B7" s="8">
        <f t="shared" si="4"/>
        <v>0.890625</v>
      </c>
      <c r="C7" s="8">
        <f t="shared" si="5"/>
        <v>0.90625</v>
      </c>
      <c r="D7" s="8">
        <f t="shared" si="6"/>
        <v>0.8984375</v>
      </c>
      <c r="E7" s="28">
        <f t="shared" si="7"/>
        <v>1.5731886861913735E-2</v>
      </c>
      <c r="F7" s="28">
        <f t="shared" si="8"/>
        <v>-3.7873548385318978E-2</v>
      </c>
      <c r="G7" s="29">
        <f t="shared" si="9"/>
        <v>-1.1089187321554395E-2</v>
      </c>
      <c r="H7" s="2"/>
      <c r="I7" s="2"/>
    </row>
    <row r="8" spans="1:15" x14ac:dyDescent="0.3">
      <c r="A8" s="6">
        <v>7</v>
      </c>
      <c r="B8" s="8">
        <f t="shared" si="4"/>
        <v>0.890625</v>
      </c>
      <c r="C8" s="8">
        <f t="shared" si="5"/>
        <v>0.8984375</v>
      </c>
      <c r="D8" s="8">
        <f t="shared" si="6"/>
        <v>0.89453125</v>
      </c>
      <c r="E8" s="28">
        <f t="shared" si="7"/>
        <v>1.5731886861913735E-2</v>
      </c>
      <c r="F8" s="28">
        <f t="shared" si="8"/>
        <v>-1.1089187321554395E-2</v>
      </c>
      <c r="G8" s="29">
        <f t="shared" si="9"/>
        <v>2.3164768892436349E-3</v>
      </c>
      <c r="H8" s="2"/>
      <c r="I8" s="26"/>
      <c r="J8" s="25"/>
      <c r="K8" s="25"/>
      <c r="L8" s="25"/>
      <c r="M8" s="25"/>
      <c r="N8" s="25"/>
      <c r="O8" s="25"/>
    </row>
    <row r="9" spans="1:15" x14ac:dyDescent="0.3">
      <c r="A9" s="6">
        <v>8</v>
      </c>
      <c r="B9" s="8" t="str">
        <f t="shared" si="4"/>
        <v/>
      </c>
      <c r="C9" s="8" t="str">
        <f t="shared" si="5"/>
        <v/>
      </c>
      <c r="D9" s="8" t="str">
        <f t="shared" si="6"/>
        <v/>
      </c>
      <c r="E9" s="28" t="str">
        <f t="shared" ref="E9" si="10">IF(G8="","",IF(ABS(G8)&lt;$H$2,"",_xlfn.COT(B9)-B9*B9))</f>
        <v/>
      </c>
      <c r="F9" s="28" t="str">
        <f t="shared" ref="F9" si="11">IF(G8="","",IF(ABS(G8)&lt;$H$2,"",_xlfn.COT(C9)-C9*C9))</f>
        <v/>
      </c>
      <c r="G9" s="29"/>
      <c r="I9" s="25"/>
      <c r="J9" s="25"/>
      <c r="K9" s="25"/>
      <c r="L9" s="25"/>
      <c r="M9" s="25"/>
      <c r="N9" s="25"/>
      <c r="O9" s="25"/>
    </row>
    <row r="10" spans="1:15" x14ac:dyDescent="0.3">
      <c r="A10" s="6"/>
      <c r="B10" s="9"/>
      <c r="C10" s="9"/>
      <c r="D10" s="9"/>
      <c r="E10" s="30"/>
      <c r="F10" s="30"/>
      <c r="G10" s="30"/>
      <c r="I10" s="25"/>
      <c r="J10" s="25"/>
      <c r="K10" s="25"/>
      <c r="L10" s="25"/>
      <c r="M10" s="25"/>
      <c r="N10" s="25"/>
      <c r="O10" s="25"/>
    </row>
    <row r="11" spans="1:15" x14ac:dyDescent="0.3">
      <c r="A11" s="31"/>
      <c r="B11" s="32"/>
      <c r="C11" s="32"/>
      <c r="D11" s="32"/>
      <c r="E11" s="32"/>
      <c r="F11" s="32"/>
      <c r="G11" s="32"/>
      <c r="I11" s="25"/>
      <c r="J11" s="25"/>
      <c r="K11" s="25"/>
      <c r="L11" s="25"/>
      <c r="M11" s="25"/>
      <c r="N11" s="25"/>
      <c r="O11" s="25"/>
    </row>
    <row r="12" spans="1:15" x14ac:dyDescent="0.3">
      <c r="F12" s="25"/>
      <c r="G12" s="25"/>
      <c r="H12" s="25"/>
      <c r="I12" s="25"/>
      <c r="J12" s="25"/>
      <c r="K12" s="25"/>
      <c r="L12" s="25"/>
      <c r="M12" s="25"/>
      <c r="N12" s="25"/>
      <c r="O12" s="25"/>
    </row>
    <row r="13" spans="1:15" x14ac:dyDescent="0.3">
      <c r="F13" s="25"/>
      <c r="G13" s="25"/>
      <c r="H13" s="25"/>
      <c r="I13" s="25"/>
      <c r="J13" s="25"/>
      <c r="K13" s="25"/>
      <c r="L13" s="25"/>
      <c r="M13" s="25"/>
      <c r="N13" s="25"/>
      <c r="O13" s="25"/>
    </row>
    <row r="14" spans="1:15" x14ac:dyDescent="0.3"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5" spans="1:15" x14ac:dyDescent="0.3">
      <c r="E15" s="2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15" x14ac:dyDescent="0.3"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6:15" x14ac:dyDescent="0.3"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6:15" x14ac:dyDescent="0.3"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6:15" x14ac:dyDescent="0.3">
      <c r="F19" s="25"/>
      <c r="G19" s="25"/>
      <c r="H19" s="25"/>
      <c r="I19" s="25"/>
      <c r="J19" s="25"/>
      <c r="K19" s="25"/>
      <c r="L19" s="25"/>
      <c r="M19" s="25"/>
      <c r="N19" s="25"/>
      <c r="O19" s="25"/>
    </row>
    <row r="20" spans="6:15" x14ac:dyDescent="0.3">
      <c r="F20" s="25"/>
      <c r="G20" s="25"/>
      <c r="H20" s="25"/>
      <c r="I20" s="25"/>
      <c r="J20" s="25"/>
      <c r="K20" s="25"/>
      <c r="L20" s="25"/>
      <c r="M20" s="25"/>
      <c r="N20" s="25"/>
      <c r="O20" s="25"/>
    </row>
    <row r="21" spans="6:15" x14ac:dyDescent="0.3">
      <c r="K21">
        <v>-3.1</v>
      </c>
      <c r="L21">
        <v>14.418839999999999</v>
      </c>
      <c r="N21">
        <v>0.5</v>
      </c>
      <c r="O21">
        <v>1.5804879999999999</v>
      </c>
    </row>
    <row r="22" spans="6:15" x14ac:dyDescent="0.3">
      <c r="K22">
        <v>-3.05</v>
      </c>
      <c r="L22">
        <v>1.5848580000000001</v>
      </c>
      <c r="N22">
        <v>0.75</v>
      </c>
      <c r="O22">
        <v>0.51092599999999999</v>
      </c>
    </row>
    <row r="23" spans="6:15" x14ac:dyDescent="0.3">
      <c r="H23">
        <v>3.2</v>
      </c>
      <c r="I23">
        <v>6.8616599999999996</v>
      </c>
      <c r="K23">
        <v>-3.0249999999999999</v>
      </c>
      <c r="L23">
        <v>-0.61265000000000003</v>
      </c>
      <c r="N23">
        <v>0.875</v>
      </c>
      <c r="O23">
        <v>6.9502999999999995E-2</v>
      </c>
    </row>
    <row r="24" spans="6:15" x14ac:dyDescent="0.3">
      <c r="H24">
        <v>3.2250000000000001</v>
      </c>
      <c r="I24">
        <v>1.5609109999999999</v>
      </c>
      <c r="K24">
        <v>-3.0375000000000001</v>
      </c>
      <c r="L24">
        <v>0.34569699999999998</v>
      </c>
      <c r="N24">
        <v>0.90625</v>
      </c>
      <c r="O24">
        <v>-3.7870000000000001E-2</v>
      </c>
    </row>
    <row r="25" spans="6:15" x14ac:dyDescent="0.3">
      <c r="H25">
        <v>3.2374999999999998</v>
      </c>
      <c r="I25">
        <v>-8.6669999999999997E-2</v>
      </c>
      <c r="K25">
        <v>-3.03125</v>
      </c>
      <c r="L25">
        <v>-0.16261</v>
      </c>
      <c r="N25">
        <v>0.890625</v>
      </c>
      <c r="O25">
        <v>1.5731999999999999E-2</v>
      </c>
    </row>
    <row r="26" spans="6:15" x14ac:dyDescent="0.3">
      <c r="K26">
        <v>-3.0328200000000001</v>
      </c>
      <c r="L26">
        <v>-4.0800000000000003E-2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BE6F-D7FB-41C1-A337-94FD27766AA6}">
  <sheetPr codeName="Лист3"/>
  <dimension ref="A1:B15"/>
  <sheetViews>
    <sheetView workbookViewId="0">
      <selection activeCell="H12" sqref="H12"/>
    </sheetView>
  </sheetViews>
  <sheetFormatPr defaultRowHeight="14.4" x14ac:dyDescent="0.3"/>
  <cols>
    <col min="1" max="1" width="19.6640625" bestFit="1" customWidth="1"/>
    <col min="2" max="2" width="4.21875" bestFit="1" customWidth="1"/>
    <col min="3" max="3" width="28.109375" bestFit="1" customWidth="1"/>
    <col min="4" max="4" width="26" bestFit="1" customWidth="1"/>
  </cols>
  <sheetData>
    <row r="1" spans="1:2" x14ac:dyDescent="0.3">
      <c r="A1" s="42" t="s">
        <v>25</v>
      </c>
      <c r="B1" s="43">
        <v>5</v>
      </c>
    </row>
    <row r="2" spans="1:2" x14ac:dyDescent="0.3">
      <c r="A2" s="42" t="s">
        <v>26</v>
      </c>
      <c r="B2" s="43">
        <v>5</v>
      </c>
    </row>
    <row r="3" spans="1:2" x14ac:dyDescent="0.3">
      <c r="A3" s="42" t="s">
        <v>27</v>
      </c>
      <c r="B3" s="43">
        <v>5</v>
      </c>
    </row>
    <row r="5" spans="1:2" x14ac:dyDescent="0.3">
      <c r="A5" s="42" t="s">
        <v>33</v>
      </c>
    </row>
    <row r="6" spans="1:2" x14ac:dyDescent="0.3">
      <c r="A6" s="43" t="s">
        <v>43</v>
      </c>
    </row>
    <row r="7" spans="1:2" x14ac:dyDescent="0.3">
      <c r="A7" s="44" t="s">
        <v>60</v>
      </c>
    </row>
    <row r="8" spans="1:2" x14ac:dyDescent="0.3">
      <c r="A8" s="44" t="s">
        <v>18</v>
      </c>
    </row>
    <row r="9" spans="1:2" x14ac:dyDescent="0.3">
      <c r="A9" s="44" t="s">
        <v>23</v>
      </c>
    </row>
    <row r="10" spans="1:2" x14ac:dyDescent="0.3">
      <c r="A10" s="44" t="s">
        <v>24</v>
      </c>
    </row>
    <row r="11" spans="1:2" x14ac:dyDescent="0.3">
      <c r="A11" s="43" t="s">
        <v>42</v>
      </c>
    </row>
    <row r="12" spans="1:2" x14ac:dyDescent="0.3">
      <c r="A12" s="44" t="s">
        <v>46</v>
      </c>
    </row>
    <row r="13" spans="1:2" x14ac:dyDescent="0.3">
      <c r="A13" s="44" t="s">
        <v>47</v>
      </c>
    </row>
    <row r="14" spans="1:2" x14ac:dyDescent="0.3">
      <c r="A14" s="44" t="s">
        <v>50</v>
      </c>
    </row>
    <row r="15" spans="1:2" x14ac:dyDescent="0.3">
      <c r="A15" s="43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J70"/>
  <sheetViews>
    <sheetView topLeftCell="A34" zoomScaleNormal="100" workbookViewId="0">
      <selection activeCell="B3" sqref="B3"/>
    </sheetView>
  </sheetViews>
  <sheetFormatPr defaultRowHeight="14.4" x14ac:dyDescent="0.3"/>
  <cols>
    <col min="1" max="1" width="13.88671875" customWidth="1"/>
    <col min="2" max="2" width="22.5546875" customWidth="1"/>
    <col min="3" max="3" width="11.5546875" customWidth="1"/>
    <col min="4" max="4" width="12.5546875" customWidth="1"/>
    <col min="5" max="5" width="11.109375" customWidth="1"/>
    <col min="6" max="6" width="13" customWidth="1"/>
    <col min="7" max="7" width="17.109375" customWidth="1"/>
    <col min="8" max="8" width="20" customWidth="1"/>
    <col min="9" max="9" width="16.88671875" customWidth="1"/>
    <col min="10" max="10" width="17.5546875" customWidth="1"/>
    <col min="11" max="11" width="10.5546875" bestFit="1" customWidth="1"/>
    <col min="12" max="12" width="11.109375" customWidth="1"/>
    <col min="13" max="13" width="15.6640625" customWidth="1"/>
  </cols>
  <sheetData>
    <row r="1" spans="1:10" x14ac:dyDescent="0.3">
      <c r="A1" s="57" t="s">
        <v>7</v>
      </c>
      <c r="B1" s="57" t="s">
        <v>70</v>
      </c>
      <c r="C1" s="60" t="s">
        <v>25</v>
      </c>
      <c r="D1" s="62" t="s">
        <v>26</v>
      </c>
      <c r="E1" s="64" t="s">
        <v>27</v>
      </c>
      <c r="F1" s="57" t="s">
        <v>28</v>
      </c>
      <c r="G1" s="57" t="s">
        <v>29</v>
      </c>
      <c r="H1" s="56" t="s">
        <v>30</v>
      </c>
      <c r="I1" s="56"/>
      <c r="J1" s="45" t="s">
        <v>71</v>
      </c>
    </row>
    <row r="2" spans="1:10" ht="15.6" customHeight="1" x14ac:dyDescent="0.3">
      <c r="A2" s="58"/>
      <c r="B2" s="58"/>
      <c r="C2" s="61"/>
      <c r="D2" s="63"/>
      <c r="E2" s="65"/>
      <c r="F2" s="59"/>
      <c r="G2" s="59"/>
      <c r="H2" s="41" t="s">
        <v>31</v>
      </c>
      <c r="I2" s="41" t="s">
        <v>32</v>
      </c>
    </row>
    <row r="3" spans="1:10" ht="16.2" customHeight="1" x14ac:dyDescent="0.3">
      <c r="A3" s="11" t="s">
        <v>43</v>
      </c>
      <c r="B3" s="11" t="s">
        <v>57</v>
      </c>
      <c r="C3" s="14">
        <v>5</v>
      </c>
      <c r="D3" s="14">
        <v>2</v>
      </c>
      <c r="E3" s="15">
        <v>3</v>
      </c>
      <c r="F3" s="33">
        <f>IF(AVERAGE(C3:E3)&gt;=3.5, IF(AVERAGE(A3:E3)=5, $G$3+$I$3,IF(MIN(C3:E3)&gt;=4,$G$3+$H$3,$G$3)), 0)</f>
        <v>0</v>
      </c>
      <c r="G3" s="35">
        <v>4000</v>
      </c>
      <c r="H3" s="35">
        <v>500</v>
      </c>
      <c r="I3" s="35">
        <v>1000</v>
      </c>
      <c r="J3" s="46">
        <f>MIN(C3:E3)</f>
        <v>2</v>
      </c>
    </row>
    <row r="4" spans="1:10" x14ac:dyDescent="0.3">
      <c r="A4" s="11" t="s">
        <v>43</v>
      </c>
      <c r="B4" s="11" t="s">
        <v>58</v>
      </c>
      <c r="C4" s="38">
        <v>4</v>
      </c>
      <c r="D4" s="38">
        <v>4</v>
      </c>
      <c r="E4" s="39">
        <v>3</v>
      </c>
      <c r="F4" s="40">
        <f>IF(AVERAGE(C4:E4)&gt;=3.5, IF(AVERAGE(A4:E4)=5, $G$3+$I$3,IF(MIN(C4:E4)&gt;=4,$G$3+$H$3,$G$3)), 0)</f>
        <v>4000</v>
      </c>
      <c r="G4" s="10"/>
      <c r="H4" s="10"/>
      <c r="I4" s="10"/>
      <c r="J4" s="46">
        <f t="shared" ref="J4:J42" si="0">MIN(C4:E4)</f>
        <v>3</v>
      </c>
    </row>
    <row r="5" spans="1:10" x14ac:dyDescent="0.3">
      <c r="A5" s="11" t="s">
        <v>43</v>
      </c>
      <c r="B5" s="11" t="s">
        <v>59</v>
      </c>
      <c r="C5" s="38">
        <v>5</v>
      </c>
      <c r="D5" s="38">
        <v>4</v>
      </c>
      <c r="E5" s="39">
        <v>3</v>
      </c>
      <c r="F5" s="40">
        <f t="shared" ref="F5:F42" si="1">IF(AVERAGE(C5:E5)&gt;=3.5, IF(AVERAGE(A5:E5)=5, $G$3+$I$3,IF(MIN(C5:E5)&gt;=4,$G$3+$H$3,$G$3)), 0)</f>
        <v>4000</v>
      </c>
      <c r="G5" s="10"/>
      <c r="H5" s="10"/>
      <c r="I5" s="10"/>
      <c r="J5" s="46">
        <f t="shared" si="0"/>
        <v>3</v>
      </c>
    </row>
    <row r="6" spans="1:10" x14ac:dyDescent="0.3">
      <c r="A6" s="11" t="s">
        <v>43</v>
      </c>
      <c r="B6" s="11" t="s">
        <v>14</v>
      </c>
      <c r="C6" s="16">
        <v>5</v>
      </c>
      <c r="D6" s="16">
        <v>4</v>
      </c>
      <c r="E6" s="17">
        <v>4</v>
      </c>
      <c r="F6" s="34">
        <f t="shared" si="1"/>
        <v>4500</v>
      </c>
      <c r="G6" s="10"/>
      <c r="H6" s="10"/>
      <c r="I6" s="10"/>
      <c r="J6" s="46">
        <f t="shared" si="0"/>
        <v>4</v>
      </c>
    </row>
    <row r="7" spans="1:10" x14ac:dyDescent="0.3">
      <c r="A7" s="11" t="s">
        <v>43</v>
      </c>
      <c r="B7" s="11" t="s">
        <v>60</v>
      </c>
      <c r="C7" s="12">
        <v>5</v>
      </c>
      <c r="D7" s="12">
        <v>5</v>
      </c>
      <c r="E7" s="13">
        <v>5</v>
      </c>
      <c r="F7" s="20">
        <f t="shared" si="1"/>
        <v>5000</v>
      </c>
      <c r="G7" s="10"/>
      <c r="H7" s="10"/>
      <c r="I7" s="10"/>
      <c r="J7" s="46">
        <f t="shared" si="0"/>
        <v>5</v>
      </c>
    </row>
    <row r="8" spans="1:10" x14ac:dyDescent="0.3">
      <c r="A8" s="11" t="s">
        <v>43</v>
      </c>
      <c r="B8" s="11" t="s">
        <v>15</v>
      </c>
      <c r="C8" s="14">
        <v>5</v>
      </c>
      <c r="D8" s="14">
        <v>2</v>
      </c>
      <c r="E8" s="15">
        <v>3</v>
      </c>
      <c r="F8" s="33">
        <f t="shared" si="1"/>
        <v>0</v>
      </c>
      <c r="G8" s="10"/>
      <c r="H8" s="10"/>
      <c r="I8" s="10"/>
      <c r="J8" s="46">
        <f t="shared" si="0"/>
        <v>2</v>
      </c>
    </row>
    <row r="9" spans="1:10" x14ac:dyDescent="0.3">
      <c r="A9" s="11" t="s">
        <v>43</v>
      </c>
      <c r="B9" s="11" t="s">
        <v>16</v>
      </c>
      <c r="C9" s="14">
        <v>4</v>
      </c>
      <c r="D9" s="14">
        <v>3</v>
      </c>
      <c r="E9" s="15">
        <v>3</v>
      </c>
      <c r="F9" s="33">
        <f t="shared" si="1"/>
        <v>0</v>
      </c>
      <c r="G9" s="10"/>
      <c r="H9" s="10"/>
      <c r="I9" s="10"/>
      <c r="J9" s="46">
        <f t="shared" si="0"/>
        <v>3</v>
      </c>
    </row>
    <row r="10" spans="1:10" x14ac:dyDescent="0.3">
      <c r="A10" s="11" t="s">
        <v>43</v>
      </c>
      <c r="B10" s="11" t="s">
        <v>61</v>
      </c>
      <c r="C10" s="16">
        <v>4</v>
      </c>
      <c r="D10" s="16">
        <v>4</v>
      </c>
      <c r="E10" s="17">
        <v>4</v>
      </c>
      <c r="F10" s="34">
        <f t="shared" si="1"/>
        <v>4500</v>
      </c>
      <c r="G10" s="10"/>
      <c r="H10" s="10"/>
      <c r="I10" s="10"/>
      <c r="J10" s="46">
        <f t="shared" si="0"/>
        <v>4</v>
      </c>
    </row>
    <row r="11" spans="1:10" x14ac:dyDescent="0.3">
      <c r="A11" s="11" t="s">
        <v>43</v>
      </c>
      <c r="B11" s="11" t="s">
        <v>17</v>
      </c>
      <c r="C11" s="16">
        <v>4</v>
      </c>
      <c r="D11" s="16">
        <v>5</v>
      </c>
      <c r="E11" s="17">
        <v>5</v>
      </c>
      <c r="F11" s="34">
        <f t="shared" si="1"/>
        <v>4500</v>
      </c>
      <c r="G11" s="10"/>
      <c r="H11" s="10"/>
      <c r="I11" s="10"/>
      <c r="J11" s="46">
        <f t="shared" si="0"/>
        <v>4</v>
      </c>
    </row>
    <row r="12" spans="1:10" x14ac:dyDescent="0.3">
      <c r="A12" s="11" t="s">
        <v>43</v>
      </c>
      <c r="B12" s="11" t="s">
        <v>18</v>
      </c>
      <c r="C12" s="12">
        <v>5</v>
      </c>
      <c r="D12" s="12">
        <v>5</v>
      </c>
      <c r="E12" s="13">
        <v>5</v>
      </c>
      <c r="F12" s="20">
        <f t="shared" si="1"/>
        <v>5000</v>
      </c>
      <c r="G12" s="10"/>
      <c r="H12" s="10"/>
      <c r="I12" s="10"/>
      <c r="J12" s="46">
        <f t="shared" si="0"/>
        <v>5</v>
      </c>
    </row>
    <row r="13" spans="1:10" x14ac:dyDescent="0.3">
      <c r="A13" s="11" t="s">
        <v>43</v>
      </c>
      <c r="B13" s="11" t="s">
        <v>62</v>
      </c>
      <c r="C13" s="16">
        <v>4</v>
      </c>
      <c r="D13" s="16">
        <v>5</v>
      </c>
      <c r="E13" s="17">
        <v>5</v>
      </c>
      <c r="F13" s="34">
        <f t="shared" si="1"/>
        <v>4500</v>
      </c>
      <c r="G13" s="10"/>
      <c r="H13" s="10"/>
      <c r="I13" s="10"/>
      <c r="J13" s="46">
        <f t="shared" si="0"/>
        <v>4</v>
      </c>
    </row>
    <row r="14" spans="1:10" x14ac:dyDescent="0.3">
      <c r="A14" s="11" t="s">
        <v>43</v>
      </c>
      <c r="B14" s="11" t="s">
        <v>63</v>
      </c>
      <c r="C14" s="14">
        <v>2</v>
      </c>
      <c r="D14" s="14">
        <v>2</v>
      </c>
      <c r="E14" s="15">
        <v>2</v>
      </c>
      <c r="F14" s="33">
        <f t="shared" si="1"/>
        <v>0</v>
      </c>
      <c r="G14" s="10"/>
      <c r="H14" s="10"/>
      <c r="I14" s="10"/>
      <c r="J14" s="46">
        <f t="shared" si="0"/>
        <v>2</v>
      </c>
    </row>
    <row r="15" spans="1:10" x14ac:dyDescent="0.3">
      <c r="A15" s="11" t="s">
        <v>43</v>
      </c>
      <c r="B15" s="11" t="s">
        <v>19</v>
      </c>
      <c r="C15" s="14">
        <v>2</v>
      </c>
      <c r="D15" s="14">
        <v>2</v>
      </c>
      <c r="E15" s="15">
        <v>3</v>
      </c>
      <c r="F15" s="33">
        <f t="shared" si="1"/>
        <v>0</v>
      </c>
      <c r="G15" s="10"/>
      <c r="H15" s="10"/>
      <c r="I15" s="10"/>
      <c r="J15" s="46">
        <f t="shared" si="0"/>
        <v>2</v>
      </c>
    </row>
    <row r="16" spans="1:10" x14ac:dyDescent="0.3">
      <c r="A16" s="11" t="s">
        <v>43</v>
      </c>
      <c r="B16" s="11" t="s">
        <v>64</v>
      </c>
      <c r="C16" s="14">
        <v>3</v>
      </c>
      <c r="D16" s="14">
        <v>3</v>
      </c>
      <c r="E16" s="15">
        <v>4</v>
      </c>
      <c r="F16" s="33">
        <f t="shared" si="1"/>
        <v>0</v>
      </c>
      <c r="G16" s="10"/>
      <c r="H16" s="10"/>
      <c r="I16" s="10"/>
      <c r="J16" s="46">
        <f t="shared" si="0"/>
        <v>3</v>
      </c>
    </row>
    <row r="17" spans="1:10" x14ac:dyDescent="0.3">
      <c r="A17" s="11" t="s">
        <v>43</v>
      </c>
      <c r="B17" s="11" t="s">
        <v>20</v>
      </c>
      <c r="C17" s="14">
        <v>2</v>
      </c>
      <c r="D17" s="14">
        <v>2</v>
      </c>
      <c r="E17" s="15">
        <v>2</v>
      </c>
      <c r="F17" s="33">
        <f t="shared" si="1"/>
        <v>0</v>
      </c>
      <c r="G17" s="10"/>
      <c r="H17" s="10"/>
      <c r="I17" s="10"/>
      <c r="J17" s="46">
        <f t="shared" si="0"/>
        <v>2</v>
      </c>
    </row>
    <row r="18" spans="1:10" x14ac:dyDescent="0.3">
      <c r="A18" s="11" t="s">
        <v>43</v>
      </c>
      <c r="B18" s="11" t="s">
        <v>65</v>
      </c>
      <c r="C18" s="14">
        <v>3</v>
      </c>
      <c r="D18" s="14">
        <v>3</v>
      </c>
      <c r="E18" s="15">
        <v>4</v>
      </c>
      <c r="F18" s="33">
        <f t="shared" si="1"/>
        <v>0</v>
      </c>
      <c r="G18" s="10"/>
      <c r="H18" s="10"/>
      <c r="I18" s="10"/>
      <c r="J18" s="46">
        <f t="shared" si="0"/>
        <v>3</v>
      </c>
    </row>
    <row r="19" spans="1:10" x14ac:dyDescent="0.3">
      <c r="A19" s="11" t="s">
        <v>43</v>
      </c>
      <c r="B19" s="11" t="s">
        <v>21</v>
      </c>
      <c r="C19" s="14">
        <v>2</v>
      </c>
      <c r="D19" s="14">
        <v>3</v>
      </c>
      <c r="E19" s="15">
        <v>3</v>
      </c>
      <c r="F19" s="33">
        <f t="shared" si="1"/>
        <v>0</v>
      </c>
      <c r="G19" s="10"/>
      <c r="H19" s="10"/>
      <c r="I19" s="10"/>
      <c r="J19" s="46">
        <f t="shared" si="0"/>
        <v>2</v>
      </c>
    </row>
    <row r="20" spans="1:10" x14ac:dyDescent="0.3">
      <c r="A20" s="11" t="s">
        <v>43</v>
      </c>
      <c r="B20" s="11" t="s">
        <v>22</v>
      </c>
      <c r="C20" s="16">
        <v>5</v>
      </c>
      <c r="D20" s="16">
        <v>4</v>
      </c>
      <c r="E20" s="17">
        <v>5</v>
      </c>
      <c r="F20" s="34">
        <f t="shared" si="1"/>
        <v>4500</v>
      </c>
      <c r="G20" s="10"/>
      <c r="H20" s="10"/>
      <c r="I20" s="10"/>
      <c r="J20" s="46">
        <f t="shared" si="0"/>
        <v>4</v>
      </c>
    </row>
    <row r="21" spans="1:10" x14ac:dyDescent="0.3">
      <c r="A21" s="11" t="s">
        <v>43</v>
      </c>
      <c r="B21" s="11" t="s">
        <v>23</v>
      </c>
      <c r="C21" s="12">
        <v>5</v>
      </c>
      <c r="D21" s="12">
        <v>5</v>
      </c>
      <c r="E21" s="13">
        <v>5</v>
      </c>
      <c r="F21" s="20">
        <f t="shared" si="1"/>
        <v>5000</v>
      </c>
      <c r="G21" s="10"/>
      <c r="H21" s="10"/>
      <c r="I21" s="10"/>
      <c r="J21" s="46">
        <f t="shared" si="0"/>
        <v>5</v>
      </c>
    </row>
    <row r="22" spans="1:10" x14ac:dyDescent="0.3">
      <c r="A22" s="11" t="s">
        <v>43</v>
      </c>
      <c r="B22" s="11" t="s">
        <v>24</v>
      </c>
      <c r="C22" s="12">
        <v>5</v>
      </c>
      <c r="D22" s="12">
        <v>5</v>
      </c>
      <c r="E22" s="13">
        <v>5</v>
      </c>
      <c r="F22" s="20">
        <f t="shared" si="1"/>
        <v>5000</v>
      </c>
      <c r="G22" s="37"/>
      <c r="H22" s="37"/>
      <c r="I22" s="37"/>
      <c r="J22" s="46">
        <f t="shared" si="0"/>
        <v>5</v>
      </c>
    </row>
    <row r="23" spans="1:10" x14ac:dyDescent="0.3">
      <c r="A23" s="11" t="s">
        <v>42</v>
      </c>
      <c r="B23" s="11" t="s">
        <v>46</v>
      </c>
      <c r="C23" s="18">
        <v>5</v>
      </c>
      <c r="D23" s="18">
        <v>5</v>
      </c>
      <c r="E23" s="19">
        <v>5</v>
      </c>
      <c r="F23" s="20">
        <f t="shared" si="1"/>
        <v>5000</v>
      </c>
      <c r="G23" s="36"/>
      <c r="H23" s="36"/>
      <c r="I23" s="36"/>
      <c r="J23" s="46">
        <f t="shared" si="0"/>
        <v>5</v>
      </c>
    </row>
    <row r="24" spans="1:10" x14ac:dyDescent="0.3">
      <c r="A24" s="11" t="s">
        <v>42</v>
      </c>
      <c r="B24" s="11" t="s">
        <v>45</v>
      </c>
      <c r="C24" s="14">
        <v>2</v>
      </c>
      <c r="D24" s="14">
        <v>2</v>
      </c>
      <c r="E24" s="15">
        <v>2</v>
      </c>
      <c r="F24" s="33">
        <f t="shared" si="1"/>
        <v>0</v>
      </c>
      <c r="G24" s="37"/>
      <c r="H24" s="37"/>
      <c r="I24" s="37"/>
      <c r="J24" s="46">
        <f t="shared" si="0"/>
        <v>2</v>
      </c>
    </row>
    <row r="25" spans="1:10" x14ac:dyDescent="0.3">
      <c r="A25" s="11" t="s">
        <v>42</v>
      </c>
      <c r="B25" s="11" t="s">
        <v>44</v>
      </c>
      <c r="C25" s="16">
        <v>4</v>
      </c>
      <c r="D25" s="16">
        <v>4</v>
      </c>
      <c r="E25" s="17">
        <v>5</v>
      </c>
      <c r="F25" s="34">
        <f t="shared" si="1"/>
        <v>4500</v>
      </c>
      <c r="G25" s="10"/>
      <c r="H25" s="10"/>
      <c r="I25" s="10"/>
      <c r="J25" s="46">
        <f t="shared" si="0"/>
        <v>4</v>
      </c>
    </row>
    <row r="26" spans="1:10" x14ac:dyDescent="0.3">
      <c r="A26" s="11" t="s">
        <v>42</v>
      </c>
      <c r="B26" s="11" t="s">
        <v>8</v>
      </c>
      <c r="C26" s="16">
        <v>4</v>
      </c>
      <c r="D26" s="16">
        <v>4</v>
      </c>
      <c r="E26" s="17">
        <v>5</v>
      </c>
      <c r="F26" s="34">
        <f t="shared" si="1"/>
        <v>4500</v>
      </c>
      <c r="G26" s="10"/>
      <c r="H26" s="10"/>
      <c r="I26" s="10"/>
      <c r="J26" s="46">
        <f t="shared" si="0"/>
        <v>4</v>
      </c>
    </row>
    <row r="27" spans="1:10" x14ac:dyDescent="0.3">
      <c r="A27" s="11" t="s">
        <v>42</v>
      </c>
      <c r="B27" s="11" t="s">
        <v>66</v>
      </c>
      <c r="C27" s="38">
        <v>5</v>
      </c>
      <c r="D27" s="38">
        <v>4</v>
      </c>
      <c r="E27" s="39">
        <v>3</v>
      </c>
      <c r="F27" s="40">
        <f t="shared" si="1"/>
        <v>4000</v>
      </c>
      <c r="G27" s="37"/>
      <c r="H27" s="37"/>
      <c r="I27" s="37"/>
      <c r="J27" s="46">
        <f t="shared" si="0"/>
        <v>3</v>
      </c>
    </row>
    <row r="28" spans="1:10" x14ac:dyDescent="0.3">
      <c r="A28" s="11" t="s">
        <v>42</v>
      </c>
      <c r="B28" s="11" t="s">
        <v>9</v>
      </c>
      <c r="C28" s="14">
        <v>2</v>
      </c>
      <c r="D28" s="14">
        <v>2</v>
      </c>
      <c r="E28" s="15">
        <v>3</v>
      </c>
      <c r="F28" s="33">
        <f t="shared" si="1"/>
        <v>0</v>
      </c>
      <c r="G28" s="10"/>
      <c r="H28" s="10"/>
      <c r="I28" s="10"/>
      <c r="J28" s="46">
        <f t="shared" si="0"/>
        <v>2</v>
      </c>
    </row>
    <row r="29" spans="1:10" x14ac:dyDescent="0.3">
      <c r="A29" s="11" t="s">
        <v>42</v>
      </c>
      <c r="B29" s="11" t="s">
        <v>47</v>
      </c>
      <c r="C29" s="12">
        <v>5</v>
      </c>
      <c r="D29" s="12">
        <v>5</v>
      </c>
      <c r="E29" s="13">
        <v>5</v>
      </c>
      <c r="F29" s="20">
        <f t="shared" si="1"/>
        <v>5000</v>
      </c>
      <c r="G29" s="10"/>
      <c r="H29" s="10"/>
      <c r="I29" s="10"/>
      <c r="J29" s="46">
        <f t="shared" si="0"/>
        <v>5</v>
      </c>
    </row>
    <row r="30" spans="1:10" x14ac:dyDescent="0.3">
      <c r="A30" s="11" t="s">
        <v>42</v>
      </c>
      <c r="B30" s="11" t="s">
        <v>48</v>
      </c>
      <c r="C30" s="38">
        <v>4</v>
      </c>
      <c r="D30" s="38">
        <v>3</v>
      </c>
      <c r="E30" s="39">
        <v>4</v>
      </c>
      <c r="F30" s="40">
        <f t="shared" si="1"/>
        <v>4000</v>
      </c>
      <c r="G30" s="10"/>
      <c r="H30" s="10"/>
      <c r="I30" s="10"/>
      <c r="J30" s="46">
        <f t="shared" si="0"/>
        <v>3</v>
      </c>
    </row>
    <row r="31" spans="1:10" x14ac:dyDescent="0.3">
      <c r="A31" s="11" t="s">
        <v>42</v>
      </c>
      <c r="B31" s="11" t="s">
        <v>10</v>
      </c>
      <c r="C31" s="16">
        <v>4</v>
      </c>
      <c r="D31" s="16">
        <v>5</v>
      </c>
      <c r="E31" s="17">
        <v>4</v>
      </c>
      <c r="F31" s="34">
        <f t="shared" si="1"/>
        <v>4500</v>
      </c>
      <c r="G31" s="10"/>
      <c r="H31" s="10"/>
      <c r="I31" s="10"/>
      <c r="J31" s="46">
        <f t="shared" si="0"/>
        <v>4</v>
      </c>
    </row>
    <row r="32" spans="1:10" x14ac:dyDescent="0.3">
      <c r="A32" s="11" t="s">
        <v>42</v>
      </c>
      <c r="B32" s="11" t="s">
        <v>11</v>
      </c>
      <c r="C32" s="38">
        <v>3</v>
      </c>
      <c r="D32" s="38">
        <v>4</v>
      </c>
      <c r="E32" s="39">
        <v>5</v>
      </c>
      <c r="F32" s="40">
        <f t="shared" si="1"/>
        <v>4000</v>
      </c>
      <c r="G32" s="10"/>
      <c r="H32" s="10"/>
      <c r="I32" s="10"/>
      <c r="J32" s="46">
        <f t="shared" si="0"/>
        <v>3</v>
      </c>
    </row>
    <row r="33" spans="1:10" x14ac:dyDescent="0.3">
      <c r="A33" s="11" t="s">
        <v>42</v>
      </c>
      <c r="B33" s="11" t="s">
        <v>49</v>
      </c>
      <c r="C33" s="38">
        <v>3</v>
      </c>
      <c r="D33" s="38">
        <v>4</v>
      </c>
      <c r="E33" s="39">
        <v>4</v>
      </c>
      <c r="F33" s="40">
        <f t="shared" si="1"/>
        <v>4000</v>
      </c>
      <c r="G33" s="10"/>
      <c r="H33" s="10"/>
      <c r="I33" s="10"/>
      <c r="J33" s="46">
        <f t="shared" si="0"/>
        <v>3</v>
      </c>
    </row>
    <row r="34" spans="1:10" x14ac:dyDescent="0.3">
      <c r="A34" s="11" t="s">
        <v>42</v>
      </c>
      <c r="B34" s="11" t="s">
        <v>50</v>
      </c>
      <c r="C34" s="12">
        <v>5</v>
      </c>
      <c r="D34" s="12">
        <v>5</v>
      </c>
      <c r="E34" s="13">
        <v>5</v>
      </c>
      <c r="F34" s="20">
        <f t="shared" si="1"/>
        <v>5000</v>
      </c>
      <c r="G34" s="10"/>
      <c r="H34" s="10"/>
      <c r="I34" s="10"/>
      <c r="J34" s="46">
        <f t="shared" si="0"/>
        <v>5</v>
      </c>
    </row>
    <row r="35" spans="1:10" x14ac:dyDescent="0.3">
      <c r="A35" s="11" t="s">
        <v>42</v>
      </c>
      <c r="B35" s="11" t="s">
        <v>51</v>
      </c>
      <c r="C35" s="14">
        <v>3</v>
      </c>
      <c r="D35" s="14">
        <v>3</v>
      </c>
      <c r="E35" s="15">
        <v>3</v>
      </c>
      <c r="F35" s="33">
        <f t="shared" si="1"/>
        <v>0</v>
      </c>
      <c r="G35" s="10"/>
      <c r="H35" s="10"/>
      <c r="I35" s="10"/>
      <c r="J35" s="46">
        <f t="shared" si="0"/>
        <v>3</v>
      </c>
    </row>
    <row r="36" spans="1:10" x14ac:dyDescent="0.3">
      <c r="A36" s="11" t="s">
        <v>42</v>
      </c>
      <c r="B36" s="11" t="s">
        <v>52</v>
      </c>
      <c r="C36" s="14">
        <v>2</v>
      </c>
      <c r="D36" s="14">
        <v>3</v>
      </c>
      <c r="E36" s="15">
        <v>2</v>
      </c>
      <c r="F36" s="33">
        <f t="shared" si="1"/>
        <v>0</v>
      </c>
      <c r="G36" s="10"/>
      <c r="H36" s="10"/>
      <c r="I36" s="10"/>
      <c r="J36" s="46">
        <f t="shared" si="0"/>
        <v>2</v>
      </c>
    </row>
    <row r="37" spans="1:10" x14ac:dyDescent="0.3">
      <c r="A37" s="11" t="s">
        <v>42</v>
      </c>
      <c r="B37" s="11" t="s">
        <v>53</v>
      </c>
      <c r="C37" s="14">
        <v>2</v>
      </c>
      <c r="D37" s="14">
        <v>2</v>
      </c>
      <c r="E37" s="15">
        <v>2</v>
      </c>
      <c r="F37" s="33">
        <f t="shared" si="1"/>
        <v>0</v>
      </c>
      <c r="G37" s="10"/>
      <c r="H37" s="10"/>
      <c r="I37" s="10"/>
      <c r="J37" s="46">
        <f t="shared" si="0"/>
        <v>2</v>
      </c>
    </row>
    <row r="38" spans="1:10" x14ac:dyDescent="0.3">
      <c r="A38" s="11" t="s">
        <v>42</v>
      </c>
      <c r="B38" s="11" t="s">
        <v>54</v>
      </c>
      <c r="C38" s="38">
        <v>3</v>
      </c>
      <c r="D38" s="38">
        <v>4</v>
      </c>
      <c r="E38" s="39">
        <v>4</v>
      </c>
      <c r="F38" s="40">
        <f t="shared" si="1"/>
        <v>4000</v>
      </c>
      <c r="G38" s="10"/>
      <c r="H38" s="10"/>
      <c r="I38" s="10"/>
      <c r="J38" s="46">
        <f t="shared" si="0"/>
        <v>3</v>
      </c>
    </row>
    <row r="39" spans="1:10" x14ac:dyDescent="0.3">
      <c r="A39" s="11" t="s">
        <v>42</v>
      </c>
      <c r="B39" s="11" t="s">
        <v>12</v>
      </c>
      <c r="C39" s="14">
        <v>3</v>
      </c>
      <c r="D39" s="14">
        <v>3</v>
      </c>
      <c r="E39" s="15">
        <v>3</v>
      </c>
      <c r="F39" s="33">
        <f t="shared" si="1"/>
        <v>0</v>
      </c>
      <c r="G39" s="10"/>
      <c r="H39" s="10"/>
      <c r="I39" s="10"/>
      <c r="J39" s="46">
        <f t="shared" si="0"/>
        <v>3</v>
      </c>
    </row>
    <row r="40" spans="1:10" x14ac:dyDescent="0.3">
      <c r="A40" s="11" t="s">
        <v>42</v>
      </c>
      <c r="B40" s="11" t="s">
        <v>55</v>
      </c>
      <c r="C40" s="16">
        <v>5</v>
      </c>
      <c r="D40" s="16">
        <v>4</v>
      </c>
      <c r="E40" s="17">
        <v>4</v>
      </c>
      <c r="F40" s="34">
        <f t="shared" si="1"/>
        <v>4500</v>
      </c>
      <c r="G40" s="10"/>
      <c r="H40" s="10"/>
      <c r="I40" s="10"/>
      <c r="J40" s="46">
        <f t="shared" si="0"/>
        <v>4</v>
      </c>
    </row>
    <row r="41" spans="1:10" x14ac:dyDescent="0.3">
      <c r="A41" s="11" t="s">
        <v>42</v>
      </c>
      <c r="B41" s="11" t="s">
        <v>13</v>
      </c>
      <c r="C41" s="16">
        <v>4</v>
      </c>
      <c r="D41" s="16">
        <v>4</v>
      </c>
      <c r="E41" s="17">
        <v>4</v>
      </c>
      <c r="F41" s="34">
        <f t="shared" si="1"/>
        <v>4500</v>
      </c>
      <c r="G41" s="10"/>
      <c r="H41" s="10"/>
      <c r="I41" s="10"/>
      <c r="J41" s="46">
        <f t="shared" si="0"/>
        <v>4</v>
      </c>
    </row>
    <row r="42" spans="1:10" x14ac:dyDescent="0.3">
      <c r="A42" s="11" t="s">
        <v>42</v>
      </c>
      <c r="B42" s="11" t="s">
        <v>56</v>
      </c>
      <c r="C42" s="14">
        <v>3</v>
      </c>
      <c r="D42" s="14">
        <v>3</v>
      </c>
      <c r="E42" s="15">
        <v>4</v>
      </c>
      <c r="F42" s="33">
        <f t="shared" si="1"/>
        <v>0</v>
      </c>
      <c r="G42" s="10"/>
      <c r="H42" s="10"/>
      <c r="I42" s="10"/>
      <c r="J42" s="46">
        <f t="shared" si="0"/>
        <v>3</v>
      </c>
    </row>
    <row r="47" spans="1:10" x14ac:dyDescent="0.3">
      <c r="A47" t="s">
        <v>43</v>
      </c>
    </row>
    <row r="48" spans="1:10" x14ac:dyDescent="0.3">
      <c r="A48" t="s">
        <v>67</v>
      </c>
      <c r="B48">
        <f>COUNT(J3:J22)</f>
        <v>20</v>
      </c>
    </row>
    <row r="49" spans="1:2" x14ac:dyDescent="0.3">
      <c r="A49" t="s">
        <v>33</v>
      </c>
      <c r="B49">
        <f>COUNTIF(J3:J22,5)</f>
        <v>4</v>
      </c>
    </row>
    <row r="50" spans="1:2" x14ac:dyDescent="0.3">
      <c r="A50" t="s">
        <v>34</v>
      </c>
      <c r="B50">
        <f>COUNTIF(J3:J22,4)</f>
        <v>5</v>
      </c>
    </row>
    <row r="51" spans="1:2" x14ac:dyDescent="0.3">
      <c r="A51" t="s">
        <v>35</v>
      </c>
      <c r="B51">
        <f>COUNTIF(J3:J22,3)</f>
        <v>5</v>
      </c>
    </row>
    <row r="52" spans="1:2" x14ac:dyDescent="0.3">
      <c r="A52" t="s">
        <v>36</v>
      </c>
      <c r="B52">
        <f>COUNTIF(J3:J22,2)</f>
        <v>6</v>
      </c>
    </row>
    <row r="54" spans="1:2" x14ac:dyDescent="0.3">
      <c r="A54" t="s">
        <v>41</v>
      </c>
    </row>
    <row r="55" spans="1:2" x14ac:dyDescent="0.3">
      <c r="A55" t="s">
        <v>67</v>
      </c>
      <c r="B55">
        <f>COUNT(J23:J42)</f>
        <v>20</v>
      </c>
    </row>
    <row r="56" spans="1:2" x14ac:dyDescent="0.3">
      <c r="A56" t="s">
        <v>33</v>
      </c>
      <c r="B56">
        <f>COUNTIF(J23:J42,5)</f>
        <v>3</v>
      </c>
    </row>
    <row r="57" spans="1:2" x14ac:dyDescent="0.3">
      <c r="A57" t="s">
        <v>34</v>
      </c>
      <c r="B57">
        <f>COUNTIF(J23:J42,4)</f>
        <v>5</v>
      </c>
    </row>
    <row r="58" spans="1:2" x14ac:dyDescent="0.3">
      <c r="A58" t="s">
        <v>35</v>
      </c>
      <c r="B58">
        <f>COUNTIF(J23:J42,3)</f>
        <v>8</v>
      </c>
    </row>
    <row r="59" spans="1:2" x14ac:dyDescent="0.3">
      <c r="A59" t="s">
        <v>36</v>
      </c>
      <c r="B59">
        <f>COUNTIF(J23:J42,2)</f>
        <v>4</v>
      </c>
    </row>
    <row r="61" spans="1:2" x14ac:dyDescent="0.3">
      <c r="A61" t="s">
        <v>68</v>
      </c>
    </row>
    <row r="62" spans="1:2" x14ac:dyDescent="0.3">
      <c r="A62" t="s">
        <v>37</v>
      </c>
      <c r="B62">
        <f>B48+B55</f>
        <v>40</v>
      </c>
    </row>
    <row r="63" spans="1:2" x14ac:dyDescent="0.3">
      <c r="A63" t="s">
        <v>33</v>
      </c>
      <c r="B63">
        <f>B49+B56</f>
        <v>7</v>
      </c>
    </row>
    <row r="64" spans="1:2" x14ac:dyDescent="0.3">
      <c r="A64" t="s">
        <v>34</v>
      </c>
      <c r="B64">
        <f>B50+B57</f>
        <v>10</v>
      </c>
    </row>
    <row r="65" spans="1:2" x14ac:dyDescent="0.3">
      <c r="A65" t="s">
        <v>35</v>
      </c>
      <c r="B65">
        <f>B51+B58</f>
        <v>13</v>
      </c>
    </row>
    <row r="66" spans="1:2" x14ac:dyDescent="0.3">
      <c r="A66" t="s">
        <v>36</v>
      </c>
      <c r="B66">
        <f>B52+B59</f>
        <v>10</v>
      </c>
    </row>
    <row r="68" spans="1:2" x14ac:dyDescent="0.3">
      <c r="A68" t="s">
        <v>72</v>
      </c>
      <c r="B68">
        <f>B62</f>
        <v>40</v>
      </c>
    </row>
    <row r="69" spans="1:2" x14ac:dyDescent="0.3">
      <c r="A69" t="s">
        <v>73</v>
      </c>
      <c r="B69">
        <f>B63</f>
        <v>7</v>
      </c>
    </row>
    <row r="70" spans="1:2" x14ac:dyDescent="0.3">
      <c r="A70" t="s">
        <v>74</v>
      </c>
      <c r="B70">
        <f>B68-B69</f>
        <v>33</v>
      </c>
    </row>
  </sheetData>
  <autoFilter ref="A1:J42" xr:uid="{00000000-0001-0000-0100-000000000000}">
    <filterColumn colId="7" showButton="0"/>
  </autoFilter>
  <mergeCells count="8">
    <mergeCell ref="H1:I1"/>
    <mergeCell ref="A1:A2"/>
    <mergeCell ref="B1:B2"/>
    <mergeCell ref="F1:F2"/>
    <mergeCell ref="C1:C2"/>
    <mergeCell ref="D1:D2"/>
    <mergeCell ref="E1:E2"/>
    <mergeCell ref="G1:G2"/>
  </mergeCells>
  <phoneticPr fontId="4" type="noConversion"/>
  <dataValidations count="1">
    <dataValidation type="list" showInputMessage="1" showErrorMessage="1" sqref="C3:E42" xr:uid="{87327A4C-50A3-4D66-92C1-EA0B32922816}">
      <formula1>"2,3,4,5"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C9F07-AE58-45EB-B0E9-F8031345BED3}">
  <sheetPr codeName="Лист5"/>
  <dimension ref="A1:CX152"/>
  <sheetViews>
    <sheetView tabSelected="1" workbookViewId="0">
      <selection activeCell="M20" sqref="M20"/>
    </sheetView>
  </sheetViews>
  <sheetFormatPr defaultRowHeight="14.4" x14ac:dyDescent="0.3"/>
  <sheetData>
    <row r="1" spans="1:102" x14ac:dyDescent="0.3">
      <c r="A1" s="1"/>
      <c r="B1" s="50">
        <v>-10</v>
      </c>
      <c r="C1" s="50">
        <v>-5</v>
      </c>
      <c r="D1" s="50">
        <v>0</v>
      </c>
      <c r="E1" s="50">
        <v>5</v>
      </c>
      <c r="F1" s="50">
        <v>10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</row>
    <row r="2" spans="1:102" x14ac:dyDescent="0.3">
      <c r="A2" s="49">
        <v>-10</v>
      </c>
      <c r="B2" s="51">
        <v>100</v>
      </c>
      <c r="C2" s="51">
        <v>50</v>
      </c>
      <c r="D2" s="51">
        <v>0</v>
      </c>
      <c r="E2" s="51">
        <v>-50</v>
      </c>
      <c r="F2" s="51">
        <v>-100</v>
      </c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</row>
    <row r="3" spans="1:102" x14ac:dyDescent="0.3">
      <c r="A3" s="49">
        <v>-5</v>
      </c>
      <c r="B3" s="51">
        <v>50</v>
      </c>
      <c r="C3" s="51">
        <v>25</v>
      </c>
      <c r="D3" s="51">
        <v>0</v>
      </c>
      <c r="E3" s="51">
        <v>-25</v>
      </c>
      <c r="F3" s="51">
        <v>-50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53"/>
      <c r="CF3" s="53"/>
      <c r="CG3" s="53"/>
      <c r="CH3" s="53"/>
      <c r="CI3" s="53"/>
      <c r="CJ3" s="53"/>
      <c r="CK3" s="53"/>
      <c r="CL3" s="53"/>
      <c r="CM3" s="53"/>
      <c r="CN3" s="53"/>
      <c r="CO3" s="53"/>
      <c r="CP3" s="53"/>
      <c r="CQ3" s="53"/>
      <c r="CR3" s="53"/>
      <c r="CS3" s="53"/>
      <c r="CT3" s="53"/>
      <c r="CU3" s="53"/>
      <c r="CV3" s="53"/>
      <c r="CW3" s="53"/>
      <c r="CX3" s="53"/>
    </row>
    <row r="4" spans="1:102" x14ac:dyDescent="0.3">
      <c r="A4" s="49">
        <v>0</v>
      </c>
      <c r="B4" s="51">
        <v>0</v>
      </c>
      <c r="C4" s="51">
        <v>0</v>
      </c>
      <c r="D4" s="51">
        <v>0</v>
      </c>
      <c r="E4" s="51">
        <v>0</v>
      </c>
      <c r="F4" s="51">
        <v>0</v>
      </c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</row>
    <row r="5" spans="1:102" x14ac:dyDescent="0.3">
      <c r="A5" s="49">
        <v>5</v>
      </c>
      <c r="B5" s="51">
        <v>-50</v>
      </c>
      <c r="C5" s="51">
        <v>-25</v>
      </c>
      <c r="D5" s="51">
        <v>0</v>
      </c>
      <c r="E5" s="51">
        <v>25</v>
      </c>
      <c r="F5" s="51">
        <v>50</v>
      </c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</row>
    <row r="6" spans="1:102" x14ac:dyDescent="0.3">
      <c r="A6" s="49">
        <v>10</v>
      </c>
      <c r="B6" s="51">
        <v>-100</v>
      </c>
      <c r="C6" s="51">
        <v>-50</v>
      </c>
      <c r="D6" s="51">
        <v>0</v>
      </c>
      <c r="E6" s="51">
        <v>50</v>
      </c>
      <c r="F6" s="51">
        <v>100</v>
      </c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3"/>
      <c r="CJ6" s="53"/>
      <c r="CK6" s="53"/>
      <c r="CL6" s="53"/>
      <c r="CM6" s="53"/>
      <c r="CN6" s="53"/>
      <c r="CO6" s="53"/>
      <c r="CP6" s="53"/>
      <c r="CQ6" s="53"/>
      <c r="CR6" s="53"/>
      <c r="CS6" s="53"/>
      <c r="CT6" s="53"/>
      <c r="CU6" s="53"/>
      <c r="CV6" s="53"/>
      <c r="CW6" s="53"/>
      <c r="CX6" s="53"/>
    </row>
    <row r="7" spans="1:102" x14ac:dyDescent="0.3">
      <c r="A7" s="54"/>
      <c r="B7" s="55"/>
      <c r="C7" s="55"/>
      <c r="D7" s="55"/>
      <c r="E7" s="55"/>
      <c r="F7" s="55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  <c r="CN7" s="53"/>
      <c r="CO7" s="53"/>
      <c r="CP7" s="53"/>
      <c r="CQ7" s="53"/>
      <c r="CR7" s="53"/>
      <c r="CS7" s="53"/>
      <c r="CT7" s="53"/>
      <c r="CU7" s="53"/>
      <c r="CV7" s="53"/>
      <c r="CW7" s="53"/>
      <c r="CX7" s="53"/>
    </row>
    <row r="8" spans="1:102" x14ac:dyDescent="0.3">
      <c r="A8" s="54"/>
      <c r="B8" s="55"/>
      <c r="C8" s="55"/>
      <c r="D8" s="55"/>
      <c r="E8" s="55"/>
      <c r="F8" s="55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  <c r="CU8" s="53"/>
      <c r="CV8" s="53"/>
      <c r="CW8" s="53"/>
      <c r="CX8" s="53"/>
    </row>
    <row r="9" spans="1:102" x14ac:dyDescent="0.3">
      <c r="A9" s="54"/>
      <c r="B9" s="55"/>
      <c r="C9" s="55"/>
      <c r="D9" s="55"/>
      <c r="E9" s="55"/>
      <c r="F9" s="55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  <c r="CU9" s="53"/>
      <c r="CV9" s="53"/>
      <c r="CW9" s="53"/>
      <c r="CX9" s="53"/>
    </row>
    <row r="10" spans="1:102" x14ac:dyDescent="0.3">
      <c r="A10" s="54"/>
      <c r="B10" s="55"/>
      <c r="C10" s="55"/>
      <c r="D10" s="55"/>
      <c r="E10" s="55"/>
      <c r="F10" s="55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</row>
    <row r="11" spans="1:102" x14ac:dyDescent="0.3">
      <c r="A11" s="54"/>
      <c r="B11" s="55"/>
      <c r="C11" s="55"/>
      <c r="D11" s="55"/>
      <c r="E11" s="55"/>
      <c r="F11" s="55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  <c r="CU11" s="53"/>
      <c r="CV11" s="53"/>
      <c r="CW11" s="53"/>
      <c r="CX11" s="53"/>
    </row>
    <row r="12" spans="1:102" x14ac:dyDescent="0.3">
      <c r="A12" s="54"/>
      <c r="B12" s="55"/>
      <c r="C12" s="55"/>
      <c r="D12" s="55"/>
      <c r="E12" s="55"/>
      <c r="F12" s="55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</row>
    <row r="13" spans="1:102" x14ac:dyDescent="0.3">
      <c r="A13" s="54"/>
      <c r="B13" s="55"/>
      <c r="C13" s="55"/>
      <c r="D13" s="55"/>
      <c r="E13" s="55"/>
      <c r="F13" s="55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  <c r="CX13" s="53"/>
    </row>
    <row r="14" spans="1:102" x14ac:dyDescent="0.3">
      <c r="A14" s="52"/>
      <c r="B14" s="53"/>
      <c r="C14" s="53"/>
      <c r="D14" s="53"/>
      <c r="E14" s="53"/>
      <c r="F14" s="55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</row>
    <row r="15" spans="1:102" x14ac:dyDescent="0.3">
      <c r="A15" s="52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  <c r="CU15" s="53"/>
      <c r="CV15" s="53"/>
      <c r="CW15" s="53"/>
      <c r="CX15" s="53"/>
    </row>
    <row r="16" spans="1:102" x14ac:dyDescent="0.3">
      <c r="A16" s="52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</row>
    <row r="17" spans="1:102" x14ac:dyDescent="0.3">
      <c r="A17" s="52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</row>
    <row r="18" spans="1:102" x14ac:dyDescent="0.3">
      <c r="A18" s="52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</row>
    <row r="19" spans="1:102" x14ac:dyDescent="0.3">
      <c r="A19" s="52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  <c r="CX19" s="53"/>
    </row>
    <row r="20" spans="1:102" x14ac:dyDescent="0.3">
      <c r="A20" s="52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</row>
    <row r="21" spans="1:102" x14ac:dyDescent="0.3">
      <c r="A21" s="52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  <c r="CU21" s="53"/>
      <c r="CV21" s="53"/>
      <c r="CW21" s="53"/>
      <c r="CX21" s="53"/>
    </row>
    <row r="22" spans="1:102" x14ac:dyDescent="0.3">
      <c r="A22" s="52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</row>
    <row r="23" spans="1:102" x14ac:dyDescent="0.3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  <c r="CX23" s="53"/>
    </row>
    <row r="24" spans="1:102" x14ac:dyDescent="0.3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</row>
    <row r="25" spans="1:102" x14ac:dyDescent="0.3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3"/>
      <c r="CJ25" s="53"/>
      <c r="CK25" s="53"/>
      <c r="CL25" s="53"/>
      <c r="CM25" s="53"/>
      <c r="CN25" s="53"/>
      <c r="CO25" s="53"/>
      <c r="CP25" s="53"/>
      <c r="CQ25" s="53"/>
      <c r="CR25" s="53"/>
      <c r="CS25" s="53"/>
      <c r="CT25" s="53"/>
      <c r="CU25" s="53"/>
      <c r="CV25" s="53"/>
      <c r="CW25" s="53"/>
      <c r="CX25" s="53"/>
    </row>
    <row r="26" spans="1:102" x14ac:dyDescent="0.3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  <c r="CU26" s="53"/>
      <c r="CV26" s="53"/>
      <c r="CW26" s="53"/>
      <c r="CX26" s="53"/>
    </row>
    <row r="27" spans="1:102" x14ac:dyDescent="0.3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  <c r="CU27" s="53"/>
      <c r="CV27" s="53"/>
      <c r="CW27" s="53"/>
      <c r="CX27" s="53"/>
    </row>
    <row r="28" spans="1:102" x14ac:dyDescent="0.3">
      <c r="A28" s="52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  <c r="CN28" s="53"/>
      <c r="CO28" s="53"/>
      <c r="CP28" s="53"/>
      <c r="CQ28" s="53"/>
      <c r="CR28" s="53"/>
      <c r="CS28" s="53"/>
      <c r="CT28" s="53"/>
      <c r="CU28" s="53"/>
      <c r="CV28" s="53"/>
      <c r="CW28" s="53"/>
      <c r="CX28" s="53"/>
    </row>
    <row r="29" spans="1:102" x14ac:dyDescent="0.3">
      <c r="A29" s="52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  <c r="CU29" s="53"/>
      <c r="CV29" s="53"/>
      <c r="CW29" s="53"/>
      <c r="CX29" s="53"/>
    </row>
    <row r="30" spans="1:102" x14ac:dyDescent="0.3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H30" s="53"/>
      <c r="CI30" s="53"/>
      <c r="CJ30" s="53"/>
      <c r="CK30" s="53"/>
      <c r="CL30" s="53"/>
      <c r="CM30" s="53"/>
      <c r="CN30" s="53"/>
      <c r="CO30" s="53"/>
      <c r="CP30" s="53"/>
      <c r="CQ30" s="53"/>
      <c r="CR30" s="53"/>
      <c r="CS30" s="53"/>
      <c r="CT30" s="53"/>
      <c r="CU30" s="53"/>
      <c r="CV30" s="53"/>
      <c r="CW30" s="53"/>
      <c r="CX30" s="53"/>
    </row>
    <row r="31" spans="1:102" x14ac:dyDescent="0.3">
      <c r="A31" s="52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  <c r="CN31" s="53"/>
      <c r="CO31" s="53"/>
      <c r="CP31" s="53"/>
      <c r="CQ31" s="53"/>
      <c r="CR31" s="53"/>
      <c r="CS31" s="53"/>
      <c r="CT31" s="53"/>
      <c r="CU31" s="53"/>
      <c r="CV31" s="53"/>
      <c r="CW31" s="53"/>
      <c r="CX31" s="53"/>
    </row>
    <row r="32" spans="1:102" x14ac:dyDescent="0.3">
      <c r="A32" s="52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  <c r="CX32" s="53"/>
    </row>
    <row r="33" spans="1:102" x14ac:dyDescent="0.3">
      <c r="A33" s="52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</row>
    <row r="34" spans="1:102" x14ac:dyDescent="0.3">
      <c r="A34" s="52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</row>
    <row r="35" spans="1:102" x14ac:dyDescent="0.3">
      <c r="A35" s="52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</row>
    <row r="36" spans="1:102" x14ac:dyDescent="0.3">
      <c r="A36" s="52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</row>
    <row r="37" spans="1:102" x14ac:dyDescent="0.3">
      <c r="A37" s="52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  <c r="CU37" s="53"/>
      <c r="CV37" s="53"/>
      <c r="CW37" s="53"/>
      <c r="CX37" s="53"/>
    </row>
    <row r="38" spans="1:102" x14ac:dyDescent="0.3">
      <c r="A38" s="52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P38" s="53"/>
      <c r="CQ38" s="53"/>
      <c r="CR38" s="53"/>
      <c r="CS38" s="53"/>
      <c r="CT38" s="53"/>
      <c r="CU38" s="53"/>
      <c r="CV38" s="53"/>
      <c r="CW38" s="53"/>
      <c r="CX38" s="53"/>
    </row>
    <row r="39" spans="1:102" x14ac:dyDescent="0.3">
      <c r="A39" s="52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CP39" s="53"/>
      <c r="CQ39" s="53"/>
      <c r="CR39" s="53"/>
      <c r="CS39" s="53"/>
      <c r="CT39" s="53"/>
      <c r="CU39" s="53"/>
      <c r="CV39" s="53"/>
      <c r="CW39" s="53"/>
      <c r="CX39" s="53"/>
    </row>
    <row r="40" spans="1:102" x14ac:dyDescent="0.3">
      <c r="A40" s="52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  <c r="CN40" s="53"/>
      <c r="CO40" s="53"/>
      <c r="CP40" s="53"/>
      <c r="CQ40" s="53"/>
      <c r="CR40" s="53"/>
      <c r="CS40" s="53"/>
      <c r="CT40" s="53"/>
      <c r="CU40" s="53"/>
      <c r="CV40" s="53"/>
      <c r="CW40" s="53"/>
      <c r="CX40" s="53"/>
    </row>
    <row r="41" spans="1:102" x14ac:dyDescent="0.3">
      <c r="A41" s="52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  <c r="CU41" s="53"/>
      <c r="CV41" s="53"/>
      <c r="CW41" s="53"/>
      <c r="CX41" s="53"/>
    </row>
    <row r="42" spans="1:102" x14ac:dyDescent="0.3">
      <c r="A42" s="52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  <c r="CU42" s="53"/>
      <c r="CV42" s="53"/>
      <c r="CW42" s="53"/>
      <c r="CX42" s="53"/>
    </row>
    <row r="43" spans="1:102" x14ac:dyDescent="0.3">
      <c r="A43" s="52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</row>
    <row r="44" spans="1:102" x14ac:dyDescent="0.3">
      <c r="A44" s="52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</row>
    <row r="45" spans="1:102" x14ac:dyDescent="0.3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  <c r="CU45" s="53"/>
      <c r="CV45" s="53"/>
      <c r="CW45" s="53"/>
      <c r="CX45" s="53"/>
    </row>
    <row r="46" spans="1:102" x14ac:dyDescent="0.3">
      <c r="A46" s="52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</row>
    <row r="47" spans="1:102" x14ac:dyDescent="0.3">
      <c r="A47" s="52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53"/>
      <c r="CX47" s="53"/>
    </row>
    <row r="48" spans="1:102" x14ac:dyDescent="0.3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  <c r="CN48" s="53"/>
      <c r="CO48" s="53"/>
      <c r="CP48" s="53"/>
      <c r="CQ48" s="53"/>
      <c r="CR48" s="53"/>
      <c r="CS48" s="53"/>
      <c r="CT48" s="53"/>
      <c r="CU48" s="53"/>
      <c r="CV48" s="53"/>
      <c r="CW48" s="53"/>
      <c r="CX48" s="53"/>
    </row>
    <row r="49" spans="1:102" x14ac:dyDescent="0.3">
      <c r="A49" s="52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  <c r="CU49" s="53"/>
      <c r="CV49" s="53"/>
      <c r="CW49" s="53"/>
      <c r="CX49" s="53"/>
    </row>
    <row r="50" spans="1:102" x14ac:dyDescent="0.3">
      <c r="A50" s="52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K50" s="53"/>
      <c r="CL50" s="53"/>
      <c r="CM50" s="53"/>
      <c r="CN50" s="53"/>
      <c r="CO50" s="53"/>
      <c r="CP50" s="53"/>
      <c r="CQ50" s="53"/>
      <c r="CR50" s="53"/>
      <c r="CS50" s="53"/>
      <c r="CT50" s="53"/>
      <c r="CU50" s="53"/>
      <c r="CV50" s="53"/>
      <c r="CW50" s="53"/>
      <c r="CX50" s="53"/>
    </row>
    <row r="51" spans="1:102" x14ac:dyDescent="0.3">
      <c r="A51" s="52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 s="53"/>
      <c r="CF51" s="53"/>
      <c r="CG51" s="53"/>
      <c r="CH51" s="53"/>
      <c r="CI51" s="53"/>
      <c r="CJ51" s="53"/>
      <c r="CK51" s="53"/>
      <c r="CL51" s="53"/>
      <c r="CM51" s="53"/>
      <c r="CN51" s="53"/>
      <c r="CO51" s="53"/>
      <c r="CP51" s="53"/>
      <c r="CQ51" s="53"/>
      <c r="CR51" s="53"/>
      <c r="CS51" s="53"/>
      <c r="CT51" s="53"/>
      <c r="CU51" s="53"/>
      <c r="CV51" s="53"/>
      <c r="CW51" s="53"/>
      <c r="CX51" s="53"/>
    </row>
    <row r="52" spans="1:102" x14ac:dyDescent="0.3">
      <c r="A52" s="52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/>
      <c r="CQ52" s="53"/>
      <c r="CR52" s="53"/>
      <c r="CS52" s="53"/>
      <c r="CT52" s="53"/>
      <c r="CU52" s="53"/>
      <c r="CV52" s="53"/>
      <c r="CW52" s="53"/>
      <c r="CX52" s="53"/>
    </row>
    <row r="53" spans="1:102" x14ac:dyDescent="0.3">
      <c r="A53" s="52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K53" s="53"/>
      <c r="CL53" s="53"/>
      <c r="CM53" s="53"/>
      <c r="CN53" s="53"/>
      <c r="CO53" s="53"/>
      <c r="CP53" s="53"/>
      <c r="CQ53" s="53"/>
      <c r="CR53" s="53"/>
      <c r="CS53" s="53"/>
      <c r="CT53" s="53"/>
      <c r="CU53" s="53"/>
      <c r="CV53" s="53"/>
      <c r="CW53" s="53"/>
      <c r="CX53" s="53"/>
    </row>
    <row r="54" spans="1:102" x14ac:dyDescent="0.3">
      <c r="A54" s="52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  <c r="CU54" s="53"/>
      <c r="CV54" s="53"/>
      <c r="CW54" s="53"/>
      <c r="CX54" s="53"/>
    </row>
    <row r="55" spans="1:102" x14ac:dyDescent="0.3">
      <c r="A55" s="52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K55" s="53"/>
      <c r="CL55" s="53"/>
      <c r="CM55" s="53"/>
      <c r="CN55" s="53"/>
      <c r="CO55" s="53"/>
      <c r="CP55" s="53"/>
      <c r="CQ55" s="53"/>
      <c r="CR55" s="53"/>
      <c r="CS55" s="53"/>
      <c r="CT55" s="53"/>
      <c r="CU55" s="53"/>
      <c r="CV55" s="53"/>
      <c r="CW55" s="53"/>
      <c r="CX55" s="53"/>
    </row>
    <row r="56" spans="1:102" x14ac:dyDescent="0.3">
      <c r="A56" s="52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K56" s="53"/>
      <c r="CL56" s="53"/>
      <c r="CM56" s="53"/>
      <c r="CN56" s="53"/>
      <c r="CO56" s="53"/>
      <c r="CP56" s="53"/>
      <c r="CQ56" s="53"/>
      <c r="CR56" s="53"/>
      <c r="CS56" s="53"/>
      <c r="CT56" s="53"/>
      <c r="CU56" s="53"/>
      <c r="CV56" s="53"/>
      <c r="CW56" s="53"/>
      <c r="CX56" s="53"/>
    </row>
    <row r="57" spans="1:102" x14ac:dyDescent="0.3">
      <c r="A57" s="52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  <c r="CN57" s="53"/>
      <c r="CO57" s="53"/>
      <c r="CP57" s="53"/>
      <c r="CQ57" s="53"/>
      <c r="CR57" s="53"/>
      <c r="CS57" s="53"/>
      <c r="CT57" s="53"/>
      <c r="CU57" s="53"/>
      <c r="CV57" s="53"/>
      <c r="CW57" s="53"/>
      <c r="CX57" s="53"/>
    </row>
    <row r="58" spans="1:102" x14ac:dyDescent="0.3">
      <c r="A58" s="52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  <c r="CN58" s="53"/>
      <c r="CO58" s="53"/>
      <c r="CP58" s="53"/>
      <c r="CQ58" s="53"/>
      <c r="CR58" s="53"/>
      <c r="CS58" s="53"/>
      <c r="CT58" s="53"/>
      <c r="CU58" s="53"/>
      <c r="CV58" s="53"/>
      <c r="CW58" s="53"/>
      <c r="CX58" s="53"/>
    </row>
    <row r="59" spans="1:102" x14ac:dyDescent="0.3">
      <c r="A59" s="52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K59" s="53"/>
      <c r="CL59" s="53"/>
      <c r="CM59" s="53"/>
      <c r="CN59" s="53"/>
      <c r="CO59" s="53"/>
      <c r="CP59" s="53"/>
      <c r="CQ59" s="53"/>
      <c r="CR59" s="53"/>
      <c r="CS59" s="53"/>
      <c r="CT59" s="53"/>
      <c r="CU59" s="53"/>
      <c r="CV59" s="53"/>
      <c r="CW59" s="53"/>
      <c r="CX59" s="53"/>
    </row>
    <row r="60" spans="1:102" x14ac:dyDescent="0.3">
      <c r="A60" s="52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K60" s="53"/>
      <c r="CL60" s="53"/>
      <c r="CM60" s="53"/>
      <c r="CN60" s="53"/>
      <c r="CO60" s="53"/>
      <c r="CP60" s="53"/>
      <c r="CQ60" s="53"/>
      <c r="CR60" s="53"/>
      <c r="CS60" s="53"/>
      <c r="CT60" s="53"/>
      <c r="CU60" s="53"/>
      <c r="CV60" s="53"/>
      <c r="CW60" s="53"/>
      <c r="CX60" s="53"/>
    </row>
    <row r="61" spans="1:102" x14ac:dyDescent="0.3">
      <c r="A61" s="52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K61" s="53"/>
      <c r="CL61" s="53"/>
      <c r="CM61" s="53"/>
      <c r="CN61" s="53"/>
      <c r="CO61" s="53"/>
      <c r="CP61" s="53"/>
      <c r="CQ61" s="53"/>
      <c r="CR61" s="53"/>
      <c r="CS61" s="53"/>
      <c r="CT61" s="53"/>
      <c r="CU61" s="53"/>
      <c r="CV61" s="53"/>
      <c r="CW61" s="53"/>
      <c r="CX61" s="53"/>
    </row>
    <row r="62" spans="1:102" x14ac:dyDescent="0.3">
      <c r="A62" s="52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K62" s="53"/>
      <c r="CL62" s="53"/>
      <c r="CM62" s="53"/>
      <c r="CN62" s="53"/>
      <c r="CO62" s="53"/>
      <c r="CP62" s="53"/>
      <c r="CQ62" s="53"/>
      <c r="CR62" s="53"/>
      <c r="CS62" s="53"/>
      <c r="CT62" s="53"/>
      <c r="CU62" s="53"/>
      <c r="CV62" s="53"/>
      <c r="CW62" s="53"/>
      <c r="CX62" s="53"/>
    </row>
    <row r="63" spans="1:102" x14ac:dyDescent="0.3">
      <c r="A63" s="52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53"/>
      <c r="CE63" s="53"/>
      <c r="CF63" s="53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3"/>
      <c r="CR63" s="53"/>
      <c r="CS63" s="53"/>
      <c r="CT63" s="53"/>
      <c r="CU63" s="53"/>
      <c r="CV63" s="53"/>
      <c r="CW63" s="53"/>
      <c r="CX63" s="53"/>
    </row>
    <row r="64" spans="1:102" x14ac:dyDescent="0.3">
      <c r="A64" s="52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3"/>
      <c r="BF64" s="53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  <c r="CL64" s="53"/>
      <c r="CM64" s="53"/>
      <c r="CN64" s="53"/>
      <c r="CO64" s="53"/>
      <c r="CP64" s="53"/>
      <c r="CQ64" s="53"/>
      <c r="CR64" s="53"/>
      <c r="CS64" s="53"/>
      <c r="CT64" s="53"/>
      <c r="CU64" s="53"/>
      <c r="CV64" s="53"/>
      <c r="CW64" s="53"/>
      <c r="CX64" s="53"/>
    </row>
    <row r="65" spans="1:102" x14ac:dyDescent="0.3">
      <c r="A65" s="52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  <c r="BA65" s="53"/>
      <c r="BB65" s="53"/>
      <c r="BC65" s="53"/>
      <c r="BD65" s="53"/>
      <c r="BE65" s="53"/>
      <c r="BF65" s="53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  <c r="CN65" s="53"/>
      <c r="CO65" s="53"/>
      <c r="CP65" s="53"/>
      <c r="CQ65" s="53"/>
      <c r="CR65" s="53"/>
      <c r="CS65" s="53"/>
      <c r="CT65" s="53"/>
      <c r="CU65" s="53"/>
      <c r="CV65" s="53"/>
      <c r="CW65" s="53"/>
      <c r="CX65" s="53"/>
    </row>
    <row r="66" spans="1:102" x14ac:dyDescent="0.3">
      <c r="A66" s="52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/>
      <c r="BA66" s="53"/>
      <c r="BB66" s="53"/>
      <c r="BC66" s="53"/>
      <c r="BD66" s="53"/>
      <c r="BE66" s="53"/>
      <c r="BF66" s="53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53"/>
      <c r="CE66" s="53"/>
      <c r="CF66" s="53"/>
      <c r="CG66" s="53"/>
      <c r="CH66" s="53"/>
      <c r="CI66" s="53"/>
      <c r="CJ66" s="53"/>
      <c r="CK66" s="53"/>
      <c r="CL66" s="53"/>
      <c r="CM66" s="53"/>
      <c r="CN66" s="53"/>
      <c r="CO66" s="53"/>
      <c r="CP66" s="53"/>
      <c r="CQ66" s="53"/>
      <c r="CR66" s="53"/>
      <c r="CS66" s="53"/>
      <c r="CT66" s="53"/>
      <c r="CU66" s="53"/>
      <c r="CV66" s="53"/>
      <c r="CW66" s="53"/>
      <c r="CX66" s="53"/>
    </row>
    <row r="67" spans="1:102" x14ac:dyDescent="0.3">
      <c r="A67" s="52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53"/>
      <c r="BH67" s="53"/>
      <c r="BI67" s="53"/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53"/>
      <c r="CE67" s="53"/>
      <c r="CF67" s="53"/>
      <c r="CG67" s="53"/>
      <c r="CH67" s="53"/>
      <c r="CI67" s="53"/>
      <c r="CJ67" s="53"/>
      <c r="CK67" s="53"/>
      <c r="CL67" s="53"/>
      <c r="CM67" s="53"/>
      <c r="CN67" s="53"/>
      <c r="CO67" s="53"/>
      <c r="CP67" s="53"/>
      <c r="CQ67" s="53"/>
      <c r="CR67" s="53"/>
      <c r="CS67" s="53"/>
      <c r="CT67" s="53"/>
      <c r="CU67" s="53"/>
      <c r="CV67" s="53"/>
      <c r="CW67" s="53"/>
      <c r="CX67" s="53"/>
    </row>
    <row r="68" spans="1:102" x14ac:dyDescent="0.3">
      <c r="A68" s="52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</row>
    <row r="69" spans="1:102" x14ac:dyDescent="0.3">
      <c r="A69" s="52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</row>
    <row r="70" spans="1:102" x14ac:dyDescent="0.3">
      <c r="A70" s="52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</row>
    <row r="71" spans="1:102" x14ac:dyDescent="0.3">
      <c r="A71" s="52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</row>
    <row r="72" spans="1:102" x14ac:dyDescent="0.3">
      <c r="A72" s="52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</row>
    <row r="73" spans="1:102" x14ac:dyDescent="0.3">
      <c r="A73" s="52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</row>
    <row r="74" spans="1:102" x14ac:dyDescent="0.3">
      <c r="A74" s="52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53"/>
      <c r="CE74" s="53"/>
      <c r="CF74" s="53"/>
      <c r="CG74" s="53"/>
      <c r="CH74" s="53"/>
      <c r="CI74" s="53"/>
      <c r="CJ74" s="53"/>
      <c r="CK74" s="53"/>
      <c r="CL74" s="53"/>
      <c r="CM74" s="53"/>
      <c r="CN74" s="53"/>
      <c r="CO74" s="53"/>
      <c r="CP74" s="53"/>
      <c r="CQ74" s="53"/>
      <c r="CR74" s="53"/>
      <c r="CS74" s="53"/>
      <c r="CT74" s="53"/>
      <c r="CU74" s="53"/>
      <c r="CV74" s="53"/>
      <c r="CW74" s="53"/>
      <c r="CX74" s="53"/>
    </row>
    <row r="75" spans="1:102" x14ac:dyDescent="0.3">
      <c r="A75" s="52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/>
      <c r="BA75" s="53"/>
      <c r="BB75" s="53"/>
      <c r="BC75" s="53"/>
      <c r="BD75" s="53"/>
      <c r="BE75" s="53"/>
      <c r="BF75" s="53"/>
      <c r="BG75" s="53"/>
      <c r="BH75" s="53"/>
      <c r="BI75" s="53"/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53"/>
      <c r="CE75" s="53"/>
      <c r="CF75" s="53"/>
      <c r="CG75" s="53"/>
      <c r="CH75" s="53"/>
      <c r="CI75" s="53"/>
      <c r="CJ75" s="53"/>
      <c r="CK75" s="53"/>
      <c r="CL75" s="53"/>
      <c r="CM75" s="53"/>
      <c r="CN75" s="53"/>
      <c r="CO75" s="53"/>
      <c r="CP75" s="53"/>
      <c r="CQ75" s="53"/>
      <c r="CR75" s="53"/>
      <c r="CS75" s="53"/>
      <c r="CT75" s="53"/>
      <c r="CU75" s="53"/>
      <c r="CV75" s="53"/>
      <c r="CW75" s="53"/>
      <c r="CX75" s="53"/>
    </row>
    <row r="76" spans="1:102" x14ac:dyDescent="0.3">
      <c r="A76" s="52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53"/>
      <c r="CE76" s="53"/>
      <c r="CF76" s="53"/>
      <c r="CG76" s="53"/>
      <c r="CH76" s="53"/>
      <c r="CI76" s="53"/>
      <c r="CJ76" s="53"/>
      <c r="CK76" s="53"/>
      <c r="CL76" s="53"/>
      <c r="CM76" s="53"/>
      <c r="CN76" s="53"/>
      <c r="CO76" s="53"/>
      <c r="CP76" s="53"/>
      <c r="CQ76" s="53"/>
      <c r="CR76" s="53"/>
      <c r="CS76" s="53"/>
      <c r="CT76" s="53"/>
      <c r="CU76" s="53"/>
      <c r="CV76" s="53"/>
      <c r="CW76" s="53"/>
      <c r="CX76" s="53"/>
    </row>
    <row r="77" spans="1:102" x14ac:dyDescent="0.3">
      <c r="A77" s="52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/>
      <c r="BA77" s="53"/>
      <c r="BB77" s="53"/>
      <c r="BC77" s="53"/>
      <c r="BD77" s="53"/>
      <c r="BE77" s="53"/>
      <c r="BF77" s="53"/>
      <c r="BG77" s="53"/>
      <c r="BH77" s="53"/>
      <c r="BI77" s="53"/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53"/>
      <c r="CE77" s="53"/>
      <c r="CF77" s="53"/>
      <c r="CG77" s="53"/>
      <c r="CH77" s="53"/>
      <c r="CI77" s="53"/>
      <c r="CJ77" s="53"/>
      <c r="CK77" s="53"/>
      <c r="CL77" s="53"/>
      <c r="CM77" s="53"/>
      <c r="CN77" s="53"/>
      <c r="CO77" s="53"/>
      <c r="CP77" s="53"/>
      <c r="CQ77" s="53"/>
      <c r="CR77" s="53"/>
      <c r="CS77" s="53"/>
      <c r="CT77" s="53"/>
      <c r="CU77" s="53"/>
      <c r="CV77" s="53"/>
      <c r="CW77" s="53"/>
      <c r="CX77" s="53"/>
    </row>
    <row r="78" spans="1:102" x14ac:dyDescent="0.3">
      <c r="A78" s="52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</row>
    <row r="79" spans="1:102" x14ac:dyDescent="0.3">
      <c r="A79" s="52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</row>
    <row r="80" spans="1:102" x14ac:dyDescent="0.3">
      <c r="A80" s="52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</row>
    <row r="81" spans="1:102" x14ac:dyDescent="0.3">
      <c r="A81" s="52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</row>
    <row r="82" spans="1:102" x14ac:dyDescent="0.3">
      <c r="A82" s="52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</row>
    <row r="83" spans="1:102" x14ac:dyDescent="0.3">
      <c r="A83" s="52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</row>
    <row r="84" spans="1:102" x14ac:dyDescent="0.3">
      <c r="A84" s="52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  <c r="BA84" s="53"/>
      <c r="BB84" s="53"/>
      <c r="BC84" s="53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53"/>
      <c r="CE84" s="53"/>
      <c r="CF84" s="53"/>
      <c r="CG84" s="53"/>
      <c r="CH84" s="53"/>
      <c r="CI84" s="53"/>
      <c r="CJ84" s="53"/>
      <c r="CK84" s="53"/>
      <c r="CL84" s="53"/>
      <c r="CM84" s="53"/>
      <c r="CN84" s="53"/>
      <c r="CO84" s="53"/>
      <c r="CP84" s="53"/>
      <c r="CQ84" s="53"/>
      <c r="CR84" s="53"/>
      <c r="CS84" s="53"/>
      <c r="CT84" s="53"/>
      <c r="CU84" s="53"/>
      <c r="CV84" s="53"/>
      <c r="CW84" s="53"/>
      <c r="CX84" s="53"/>
    </row>
    <row r="85" spans="1:102" x14ac:dyDescent="0.3">
      <c r="A85" s="52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53"/>
      <c r="CE85" s="53"/>
      <c r="CF85" s="53"/>
      <c r="CG85" s="53"/>
      <c r="CH85" s="53"/>
      <c r="CI85" s="53"/>
      <c r="CJ85" s="53"/>
      <c r="CK85" s="53"/>
      <c r="CL85" s="53"/>
      <c r="CM85" s="53"/>
      <c r="CN85" s="53"/>
      <c r="CO85" s="53"/>
      <c r="CP85" s="53"/>
      <c r="CQ85" s="53"/>
      <c r="CR85" s="53"/>
      <c r="CS85" s="53"/>
      <c r="CT85" s="53"/>
      <c r="CU85" s="53"/>
      <c r="CV85" s="53"/>
      <c r="CW85" s="53"/>
      <c r="CX85" s="53"/>
    </row>
    <row r="86" spans="1:102" x14ac:dyDescent="0.3">
      <c r="A86" s="52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/>
      <c r="BA86" s="53"/>
      <c r="BB86" s="53"/>
      <c r="BC86" s="53"/>
      <c r="BD86" s="53"/>
      <c r="BE86" s="53"/>
      <c r="BF86" s="53"/>
      <c r="BG86" s="53"/>
      <c r="BH86" s="53"/>
      <c r="BI86" s="53"/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53"/>
      <c r="CE86" s="53"/>
      <c r="CF86" s="53"/>
      <c r="CG86" s="53"/>
      <c r="CH86" s="53"/>
      <c r="CI86" s="53"/>
      <c r="CJ86" s="53"/>
      <c r="CK86" s="53"/>
      <c r="CL86" s="53"/>
      <c r="CM86" s="53"/>
      <c r="CN86" s="53"/>
      <c r="CO86" s="53"/>
      <c r="CP86" s="53"/>
      <c r="CQ86" s="53"/>
      <c r="CR86" s="53"/>
      <c r="CS86" s="53"/>
      <c r="CT86" s="53"/>
      <c r="CU86" s="53"/>
      <c r="CV86" s="53"/>
      <c r="CW86" s="53"/>
      <c r="CX86" s="53"/>
    </row>
    <row r="87" spans="1:102" x14ac:dyDescent="0.3">
      <c r="A87" s="52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53"/>
      <c r="CE87" s="53"/>
      <c r="CF87" s="53"/>
      <c r="CG87" s="53"/>
      <c r="CH87" s="53"/>
      <c r="CI87" s="53"/>
      <c r="CJ87" s="53"/>
      <c r="CK87" s="53"/>
      <c r="CL87" s="53"/>
      <c r="CM87" s="53"/>
      <c r="CN87" s="53"/>
      <c r="CO87" s="53"/>
      <c r="CP87" s="53"/>
      <c r="CQ87" s="53"/>
      <c r="CR87" s="53"/>
      <c r="CS87" s="53"/>
      <c r="CT87" s="53"/>
      <c r="CU87" s="53"/>
      <c r="CV87" s="53"/>
      <c r="CW87" s="53"/>
      <c r="CX87" s="53"/>
    </row>
    <row r="88" spans="1:102" x14ac:dyDescent="0.3">
      <c r="A88" s="52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/>
      <c r="BA88" s="53"/>
      <c r="BB88" s="53"/>
      <c r="BC88" s="53"/>
      <c r="BD88" s="53"/>
      <c r="BE88" s="53"/>
      <c r="BF88" s="53"/>
      <c r="BG88" s="53"/>
      <c r="BH88" s="53"/>
      <c r="BI88" s="53"/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53"/>
      <c r="CE88" s="53"/>
      <c r="CF88" s="53"/>
      <c r="CG88" s="53"/>
      <c r="CH88" s="53"/>
      <c r="CI88" s="53"/>
      <c r="CJ88" s="53"/>
      <c r="CK88" s="53"/>
      <c r="CL88" s="53"/>
      <c r="CM88" s="53"/>
      <c r="CN88" s="53"/>
      <c r="CO88" s="53"/>
      <c r="CP88" s="53"/>
      <c r="CQ88" s="53"/>
      <c r="CR88" s="53"/>
      <c r="CS88" s="53"/>
      <c r="CT88" s="53"/>
      <c r="CU88" s="53"/>
      <c r="CV88" s="53"/>
      <c r="CW88" s="53"/>
      <c r="CX88" s="53"/>
    </row>
    <row r="89" spans="1:102" x14ac:dyDescent="0.3">
      <c r="A89" s="52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53"/>
      <c r="CE89" s="53"/>
      <c r="CF89" s="53"/>
      <c r="CG89" s="53"/>
      <c r="CH89" s="53"/>
      <c r="CI89" s="53"/>
      <c r="CJ89" s="53"/>
      <c r="CK89" s="53"/>
      <c r="CL89" s="53"/>
      <c r="CM89" s="53"/>
      <c r="CN89" s="53"/>
      <c r="CO89" s="53"/>
      <c r="CP89" s="53"/>
      <c r="CQ89" s="53"/>
      <c r="CR89" s="53"/>
      <c r="CS89" s="53"/>
      <c r="CT89" s="53"/>
      <c r="CU89" s="53"/>
      <c r="CV89" s="53"/>
      <c r="CW89" s="53"/>
      <c r="CX89" s="53"/>
    </row>
    <row r="90" spans="1:102" x14ac:dyDescent="0.3">
      <c r="A90" s="52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53"/>
      <c r="CE90" s="53"/>
      <c r="CF90" s="53"/>
      <c r="CG90" s="53"/>
      <c r="CH90" s="53"/>
      <c r="CI90" s="53"/>
      <c r="CJ90" s="53"/>
      <c r="CK90" s="53"/>
      <c r="CL90" s="53"/>
      <c r="CM90" s="53"/>
      <c r="CN90" s="53"/>
      <c r="CO90" s="53"/>
      <c r="CP90" s="53"/>
      <c r="CQ90" s="53"/>
      <c r="CR90" s="53"/>
      <c r="CS90" s="53"/>
      <c r="CT90" s="53"/>
      <c r="CU90" s="53"/>
      <c r="CV90" s="53"/>
      <c r="CW90" s="53"/>
      <c r="CX90" s="53"/>
    </row>
    <row r="91" spans="1:102" x14ac:dyDescent="0.3">
      <c r="A91" s="52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  <c r="CU91" s="53"/>
      <c r="CV91" s="53"/>
      <c r="CW91" s="53"/>
      <c r="CX91" s="53"/>
    </row>
    <row r="92" spans="1:102" x14ac:dyDescent="0.3">
      <c r="A92" s="52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53"/>
      <c r="CE92" s="53"/>
      <c r="CF92" s="53"/>
      <c r="CG92" s="53"/>
      <c r="CH92" s="53"/>
      <c r="CI92" s="53"/>
      <c r="CJ92" s="53"/>
      <c r="CK92" s="53"/>
      <c r="CL92" s="53"/>
      <c r="CM92" s="53"/>
      <c r="CN92" s="53"/>
      <c r="CO92" s="53"/>
      <c r="CP92" s="53"/>
      <c r="CQ92" s="53"/>
      <c r="CR92" s="53"/>
      <c r="CS92" s="53"/>
      <c r="CT92" s="53"/>
      <c r="CU92" s="53"/>
      <c r="CV92" s="53"/>
      <c r="CW92" s="53"/>
      <c r="CX92" s="53"/>
    </row>
    <row r="93" spans="1:102" x14ac:dyDescent="0.3">
      <c r="A93" s="52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53"/>
      <c r="CE93" s="53"/>
      <c r="CF93" s="53"/>
      <c r="CG93" s="53"/>
      <c r="CH93" s="53"/>
      <c r="CI93" s="53"/>
      <c r="CJ93" s="53"/>
      <c r="CK93" s="53"/>
      <c r="CL93" s="53"/>
      <c r="CM93" s="53"/>
      <c r="CN93" s="53"/>
      <c r="CO93" s="53"/>
      <c r="CP93" s="53"/>
      <c r="CQ93" s="53"/>
      <c r="CR93" s="53"/>
      <c r="CS93" s="53"/>
      <c r="CT93" s="53"/>
      <c r="CU93" s="53"/>
      <c r="CV93" s="53"/>
      <c r="CW93" s="53"/>
      <c r="CX93" s="53"/>
    </row>
    <row r="94" spans="1:102" x14ac:dyDescent="0.3">
      <c r="A94" s="52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53"/>
      <c r="CE94" s="53"/>
      <c r="CF94" s="53"/>
      <c r="CG94" s="53"/>
      <c r="CH94" s="53"/>
      <c r="CI94" s="53"/>
      <c r="CJ94" s="53"/>
      <c r="CK94" s="53"/>
      <c r="CL94" s="53"/>
      <c r="CM94" s="53"/>
      <c r="CN94" s="53"/>
      <c r="CO94" s="53"/>
      <c r="CP94" s="53"/>
      <c r="CQ94" s="53"/>
      <c r="CR94" s="53"/>
      <c r="CS94" s="53"/>
      <c r="CT94" s="53"/>
      <c r="CU94" s="53"/>
      <c r="CV94" s="53"/>
      <c r="CW94" s="53"/>
      <c r="CX94" s="53"/>
    </row>
    <row r="95" spans="1:102" x14ac:dyDescent="0.3">
      <c r="A95" s="52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53"/>
      <c r="CE95" s="53"/>
      <c r="CF95" s="53"/>
      <c r="CG95" s="53"/>
      <c r="CH95" s="53"/>
      <c r="CI95" s="53"/>
      <c r="CJ95" s="53"/>
      <c r="CK95" s="53"/>
      <c r="CL95" s="53"/>
      <c r="CM95" s="53"/>
      <c r="CN95" s="53"/>
      <c r="CO95" s="53"/>
      <c r="CP95" s="53"/>
      <c r="CQ95" s="53"/>
      <c r="CR95" s="53"/>
      <c r="CS95" s="53"/>
      <c r="CT95" s="53"/>
      <c r="CU95" s="53"/>
      <c r="CV95" s="53"/>
      <c r="CW95" s="53"/>
      <c r="CX95" s="53"/>
    </row>
    <row r="96" spans="1:102" x14ac:dyDescent="0.3">
      <c r="A96" s="52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53"/>
      <c r="CE96" s="53"/>
      <c r="CF96" s="53"/>
      <c r="CG96" s="53"/>
      <c r="CH96" s="53"/>
      <c r="CI96" s="53"/>
      <c r="CJ96" s="53"/>
      <c r="CK96" s="53"/>
      <c r="CL96" s="53"/>
      <c r="CM96" s="53"/>
      <c r="CN96" s="53"/>
      <c r="CO96" s="53"/>
      <c r="CP96" s="53"/>
      <c r="CQ96" s="53"/>
      <c r="CR96" s="53"/>
      <c r="CS96" s="53"/>
      <c r="CT96" s="53"/>
      <c r="CU96" s="53"/>
      <c r="CV96" s="53"/>
      <c r="CW96" s="53"/>
      <c r="CX96" s="53"/>
    </row>
    <row r="97" spans="1:102" x14ac:dyDescent="0.3">
      <c r="A97" s="52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53"/>
      <c r="CE97" s="53"/>
      <c r="CF97" s="53"/>
      <c r="CG97" s="53"/>
      <c r="CH97" s="53"/>
      <c r="CI97" s="53"/>
      <c r="CJ97" s="53"/>
      <c r="CK97" s="53"/>
      <c r="CL97" s="53"/>
      <c r="CM97" s="53"/>
      <c r="CN97" s="53"/>
      <c r="CO97" s="53"/>
      <c r="CP97" s="53"/>
      <c r="CQ97" s="53"/>
      <c r="CR97" s="53"/>
      <c r="CS97" s="53"/>
      <c r="CT97" s="53"/>
      <c r="CU97" s="53"/>
      <c r="CV97" s="53"/>
      <c r="CW97" s="53"/>
      <c r="CX97" s="53"/>
    </row>
    <row r="98" spans="1:102" x14ac:dyDescent="0.3">
      <c r="A98" s="52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53"/>
      <c r="CE98" s="53"/>
      <c r="CF98" s="53"/>
      <c r="CG98" s="53"/>
      <c r="CH98" s="53"/>
      <c r="CI98" s="53"/>
      <c r="CJ98" s="53"/>
      <c r="CK98" s="53"/>
      <c r="CL98" s="53"/>
      <c r="CM98" s="53"/>
      <c r="CN98" s="53"/>
      <c r="CO98" s="53"/>
      <c r="CP98" s="53"/>
      <c r="CQ98" s="53"/>
      <c r="CR98" s="53"/>
      <c r="CS98" s="53"/>
      <c r="CT98" s="53"/>
      <c r="CU98" s="53"/>
      <c r="CV98" s="53"/>
      <c r="CW98" s="53"/>
      <c r="CX98" s="53"/>
    </row>
    <row r="99" spans="1:102" x14ac:dyDescent="0.3">
      <c r="A99" s="52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53"/>
      <c r="CE99" s="53"/>
      <c r="CF99" s="53"/>
      <c r="CG99" s="53"/>
      <c r="CH99" s="53"/>
      <c r="CI99" s="53"/>
      <c r="CJ99" s="53"/>
      <c r="CK99" s="53"/>
      <c r="CL99" s="53"/>
      <c r="CM99" s="53"/>
      <c r="CN99" s="53"/>
      <c r="CO99" s="53"/>
      <c r="CP99" s="53"/>
      <c r="CQ99" s="53"/>
      <c r="CR99" s="53"/>
      <c r="CS99" s="53"/>
      <c r="CT99" s="53"/>
      <c r="CU99" s="53"/>
      <c r="CV99" s="53"/>
      <c r="CW99" s="53"/>
      <c r="CX99" s="53"/>
    </row>
    <row r="100" spans="1:102" x14ac:dyDescent="0.3">
      <c r="A100" s="52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53"/>
      <c r="CE100" s="53"/>
      <c r="CF100" s="53"/>
      <c r="CG100" s="53"/>
      <c r="CH100" s="53"/>
      <c r="CI100" s="53"/>
      <c r="CJ100" s="53"/>
      <c r="CK100" s="53"/>
      <c r="CL100" s="53"/>
      <c r="CM100" s="53"/>
      <c r="CN100" s="53"/>
      <c r="CO100" s="53"/>
      <c r="CP100" s="53"/>
      <c r="CQ100" s="53"/>
      <c r="CR100" s="53"/>
      <c r="CS100" s="53"/>
      <c r="CT100" s="53"/>
      <c r="CU100" s="53"/>
      <c r="CV100" s="53"/>
      <c r="CW100" s="53"/>
      <c r="CX100" s="53"/>
    </row>
    <row r="101" spans="1:102" x14ac:dyDescent="0.3">
      <c r="A101" s="52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53"/>
      <c r="CE101" s="53"/>
      <c r="CF101" s="53"/>
      <c r="CG101" s="53"/>
      <c r="CH101" s="53"/>
      <c r="CI101" s="53"/>
      <c r="CJ101" s="53"/>
      <c r="CK101" s="53"/>
      <c r="CL101" s="53"/>
      <c r="CM101" s="53"/>
      <c r="CN101" s="53"/>
      <c r="CO101" s="53"/>
      <c r="CP101" s="53"/>
      <c r="CQ101" s="53"/>
      <c r="CR101" s="53"/>
      <c r="CS101" s="53"/>
      <c r="CT101" s="53"/>
      <c r="CU101" s="53"/>
      <c r="CV101" s="53"/>
      <c r="CW101" s="53"/>
      <c r="CX101" s="53"/>
    </row>
    <row r="102" spans="1:102" x14ac:dyDescent="0.3">
      <c r="A102" s="52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53"/>
      <c r="CE102" s="53"/>
      <c r="CF102" s="53"/>
      <c r="CG102" s="53"/>
      <c r="CH102" s="53"/>
      <c r="CI102" s="53"/>
      <c r="CJ102" s="53"/>
      <c r="CK102" s="53"/>
      <c r="CL102" s="53"/>
      <c r="CM102" s="53"/>
      <c r="CN102" s="53"/>
      <c r="CO102" s="53"/>
      <c r="CP102" s="53"/>
      <c r="CQ102" s="53"/>
      <c r="CR102" s="53"/>
      <c r="CS102" s="53"/>
      <c r="CT102" s="53"/>
      <c r="CU102" s="53"/>
      <c r="CV102" s="53"/>
      <c r="CW102" s="53"/>
      <c r="CX102" s="53"/>
    </row>
    <row r="103" spans="1:102" x14ac:dyDescent="0.3">
      <c r="A103" s="52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53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3"/>
      <c r="CR103" s="53"/>
      <c r="CS103" s="53"/>
      <c r="CT103" s="53"/>
      <c r="CU103" s="53"/>
      <c r="CV103" s="53"/>
      <c r="CW103" s="53"/>
      <c r="CX103" s="53"/>
    </row>
    <row r="104" spans="1:102" x14ac:dyDescent="0.3">
      <c r="A104" s="52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53"/>
      <c r="CE104" s="53"/>
      <c r="CF104" s="53"/>
      <c r="CG104" s="53"/>
      <c r="CH104" s="53"/>
      <c r="CI104" s="53"/>
      <c r="CJ104" s="53"/>
      <c r="CK104" s="53"/>
      <c r="CL104" s="53"/>
      <c r="CM104" s="53"/>
      <c r="CN104" s="53"/>
      <c r="CO104" s="53"/>
      <c r="CP104" s="53"/>
      <c r="CQ104" s="53"/>
      <c r="CR104" s="53"/>
      <c r="CS104" s="53"/>
      <c r="CT104" s="53"/>
      <c r="CU104" s="53"/>
      <c r="CV104" s="53"/>
      <c r="CW104" s="53"/>
      <c r="CX104" s="53"/>
    </row>
    <row r="105" spans="1:102" x14ac:dyDescent="0.3">
      <c r="A105" s="52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53"/>
      <c r="CE105" s="53"/>
      <c r="CF105" s="53"/>
      <c r="CG105" s="53"/>
      <c r="CH105" s="53"/>
      <c r="CI105" s="53"/>
      <c r="CJ105" s="53"/>
      <c r="CK105" s="53"/>
      <c r="CL105" s="53"/>
      <c r="CM105" s="53"/>
      <c r="CN105" s="53"/>
      <c r="CO105" s="53"/>
      <c r="CP105" s="53"/>
      <c r="CQ105" s="53"/>
      <c r="CR105" s="53"/>
      <c r="CS105" s="53"/>
      <c r="CT105" s="53"/>
      <c r="CU105" s="53"/>
      <c r="CV105" s="53"/>
      <c r="CW105" s="53"/>
      <c r="CX105" s="53"/>
    </row>
    <row r="106" spans="1:102" x14ac:dyDescent="0.3">
      <c r="A106" s="52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53"/>
      <c r="CE106" s="53"/>
      <c r="CF106" s="53"/>
      <c r="CG106" s="53"/>
      <c r="CH106" s="53"/>
      <c r="CI106" s="53"/>
      <c r="CJ106" s="53"/>
      <c r="CK106" s="53"/>
      <c r="CL106" s="53"/>
      <c r="CM106" s="53"/>
      <c r="CN106" s="53"/>
      <c r="CO106" s="53"/>
      <c r="CP106" s="53"/>
      <c r="CQ106" s="53"/>
      <c r="CR106" s="53"/>
      <c r="CS106" s="53"/>
      <c r="CT106" s="53"/>
      <c r="CU106" s="53"/>
      <c r="CV106" s="53"/>
      <c r="CW106" s="53"/>
      <c r="CX106" s="53"/>
    </row>
    <row r="107" spans="1:102" x14ac:dyDescent="0.3">
      <c r="A107" s="52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53"/>
      <c r="CE107" s="53"/>
      <c r="CF107" s="53"/>
      <c r="CG107" s="53"/>
      <c r="CH107" s="53"/>
      <c r="CI107" s="53"/>
      <c r="CJ107" s="53"/>
      <c r="CK107" s="53"/>
      <c r="CL107" s="53"/>
      <c r="CM107" s="53"/>
      <c r="CN107" s="53"/>
      <c r="CO107" s="53"/>
      <c r="CP107" s="53"/>
      <c r="CQ107" s="53"/>
      <c r="CR107" s="53"/>
      <c r="CS107" s="53"/>
      <c r="CT107" s="53"/>
      <c r="CU107" s="53"/>
      <c r="CV107" s="53"/>
      <c r="CW107" s="53"/>
      <c r="CX107" s="53"/>
    </row>
    <row r="108" spans="1:102" x14ac:dyDescent="0.3">
      <c r="A108" s="52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53"/>
      <c r="CE108" s="53"/>
      <c r="CF108" s="53"/>
      <c r="CG108" s="53"/>
      <c r="CH108" s="53"/>
      <c r="CI108" s="53"/>
      <c r="CJ108" s="53"/>
      <c r="CK108" s="53"/>
      <c r="CL108" s="53"/>
      <c r="CM108" s="53"/>
      <c r="CN108" s="53"/>
      <c r="CO108" s="53"/>
      <c r="CP108" s="53"/>
      <c r="CQ108" s="53"/>
      <c r="CR108" s="53"/>
      <c r="CS108" s="53"/>
      <c r="CT108" s="53"/>
      <c r="CU108" s="53"/>
      <c r="CV108" s="53"/>
      <c r="CW108" s="53"/>
      <c r="CX108" s="53"/>
    </row>
    <row r="109" spans="1:102" x14ac:dyDescent="0.3">
      <c r="A109" s="52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53"/>
      <c r="CE109" s="53"/>
      <c r="CF109" s="53"/>
      <c r="CG109" s="53"/>
      <c r="CH109" s="53"/>
      <c r="CI109" s="53"/>
      <c r="CJ109" s="53"/>
      <c r="CK109" s="53"/>
      <c r="CL109" s="53"/>
      <c r="CM109" s="53"/>
      <c r="CN109" s="53"/>
      <c r="CO109" s="53"/>
      <c r="CP109" s="53"/>
      <c r="CQ109" s="53"/>
      <c r="CR109" s="53"/>
      <c r="CS109" s="53"/>
      <c r="CT109" s="53"/>
      <c r="CU109" s="53"/>
      <c r="CV109" s="53"/>
      <c r="CW109" s="53"/>
      <c r="CX109" s="53"/>
    </row>
    <row r="110" spans="1:102" x14ac:dyDescent="0.3">
      <c r="A110" s="52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53"/>
      <c r="CE110" s="53"/>
      <c r="CF110" s="53"/>
      <c r="CG110" s="53"/>
      <c r="CH110" s="53"/>
      <c r="CI110" s="53"/>
      <c r="CJ110" s="53"/>
      <c r="CK110" s="53"/>
      <c r="CL110" s="53"/>
      <c r="CM110" s="53"/>
      <c r="CN110" s="53"/>
      <c r="CO110" s="53"/>
      <c r="CP110" s="53"/>
      <c r="CQ110" s="53"/>
      <c r="CR110" s="53"/>
      <c r="CS110" s="53"/>
      <c r="CT110" s="53"/>
      <c r="CU110" s="53"/>
      <c r="CV110" s="53"/>
      <c r="CW110" s="53"/>
      <c r="CX110" s="53"/>
    </row>
    <row r="111" spans="1:102" x14ac:dyDescent="0.3">
      <c r="A111" s="52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53"/>
      <c r="CE111" s="53"/>
      <c r="CF111" s="53"/>
      <c r="CG111" s="53"/>
      <c r="CH111" s="53"/>
      <c r="CI111" s="53"/>
      <c r="CJ111" s="53"/>
      <c r="CK111" s="53"/>
      <c r="CL111" s="53"/>
      <c r="CM111" s="53"/>
      <c r="CN111" s="53"/>
      <c r="CO111" s="53"/>
      <c r="CP111" s="53"/>
      <c r="CQ111" s="53"/>
      <c r="CR111" s="53"/>
      <c r="CS111" s="53"/>
      <c r="CT111" s="53"/>
      <c r="CU111" s="53"/>
      <c r="CV111" s="53"/>
      <c r="CW111" s="53"/>
      <c r="CX111" s="53"/>
    </row>
    <row r="112" spans="1:102" x14ac:dyDescent="0.3">
      <c r="A112" s="52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53"/>
      <c r="CE112" s="53"/>
      <c r="CF112" s="53"/>
      <c r="CG112" s="53"/>
      <c r="CH112" s="53"/>
      <c r="CI112" s="53"/>
      <c r="CJ112" s="53"/>
      <c r="CK112" s="53"/>
      <c r="CL112" s="53"/>
      <c r="CM112" s="53"/>
      <c r="CN112" s="53"/>
      <c r="CO112" s="53"/>
      <c r="CP112" s="53"/>
      <c r="CQ112" s="53"/>
      <c r="CR112" s="53"/>
      <c r="CS112" s="53"/>
      <c r="CT112" s="53"/>
      <c r="CU112" s="53"/>
      <c r="CV112" s="53"/>
      <c r="CW112" s="53"/>
      <c r="CX112" s="53"/>
    </row>
    <row r="113" spans="1:102" x14ac:dyDescent="0.3">
      <c r="A113" s="52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53"/>
      <c r="CE113" s="53"/>
      <c r="CF113" s="53"/>
      <c r="CG113" s="53"/>
      <c r="CH113" s="53"/>
      <c r="CI113" s="53"/>
      <c r="CJ113" s="53"/>
      <c r="CK113" s="53"/>
      <c r="CL113" s="53"/>
      <c r="CM113" s="53"/>
      <c r="CN113" s="53"/>
      <c r="CO113" s="53"/>
      <c r="CP113" s="53"/>
      <c r="CQ113" s="53"/>
      <c r="CR113" s="53"/>
      <c r="CS113" s="53"/>
      <c r="CT113" s="53"/>
      <c r="CU113" s="53"/>
      <c r="CV113" s="53"/>
      <c r="CW113" s="53"/>
      <c r="CX113" s="53"/>
    </row>
    <row r="114" spans="1:102" x14ac:dyDescent="0.3">
      <c r="A114" s="52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53"/>
      <c r="CE114" s="53"/>
      <c r="CF114" s="53"/>
      <c r="CG114" s="53"/>
      <c r="CH114" s="53"/>
      <c r="CI114" s="53"/>
      <c r="CJ114" s="53"/>
      <c r="CK114" s="53"/>
      <c r="CL114" s="53"/>
      <c r="CM114" s="53"/>
      <c r="CN114" s="53"/>
      <c r="CO114" s="53"/>
      <c r="CP114" s="53"/>
      <c r="CQ114" s="53"/>
      <c r="CR114" s="53"/>
      <c r="CS114" s="53"/>
      <c r="CT114" s="53"/>
      <c r="CU114" s="53"/>
      <c r="CV114" s="53"/>
      <c r="CW114" s="53"/>
      <c r="CX114" s="53"/>
    </row>
    <row r="115" spans="1:102" x14ac:dyDescent="0.3">
      <c r="A115" s="52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53"/>
      <c r="CE115" s="53"/>
      <c r="CF115" s="53"/>
      <c r="CG115" s="53"/>
      <c r="CH115" s="53"/>
      <c r="CI115" s="53"/>
      <c r="CJ115" s="53"/>
      <c r="CK115" s="53"/>
      <c r="CL115" s="53"/>
      <c r="CM115" s="53"/>
      <c r="CN115" s="53"/>
      <c r="CO115" s="53"/>
      <c r="CP115" s="53"/>
      <c r="CQ115" s="53"/>
      <c r="CR115" s="53"/>
      <c r="CS115" s="53"/>
      <c r="CT115" s="53"/>
      <c r="CU115" s="53"/>
      <c r="CV115" s="53"/>
      <c r="CW115" s="53"/>
      <c r="CX115" s="53"/>
    </row>
    <row r="116" spans="1:102" x14ac:dyDescent="0.3">
      <c r="A116" s="52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53"/>
      <c r="CE116" s="53"/>
      <c r="CF116" s="53"/>
      <c r="CG116" s="53"/>
      <c r="CH116" s="53"/>
      <c r="CI116" s="53"/>
      <c r="CJ116" s="53"/>
      <c r="CK116" s="53"/>
      <c r="CL116" s="53"/>
      <c r="CM116" s="53"/>
      <c r="CN116" s="53"/>
      <c r="CO116" s="53"/>
      <c r="CP116" s="53"/>
      <c r="CQ116" s="53"/>
      <c r="CR116" s="53"/>
      <c r="CS116" s="53"/>
      <c r="CT116" s="53"/>
      <c r="CU116" s="53"/>
      <c r="CV116" s="53"/>
      <c r="CW116" s="53"/>
      <c r="CX116" s="53"/>
    </row>
    <row r="117" spans="1:102" x14ac:dyDescent="0.3">
      <c r="A117" s="52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53"/>
      <c r="CE117" s="53"/>
      <c r="CF117" s="53"/>
      <c r="CG117" s="53"/>
      <c r="CH117" s="53"/>
      <c r="CI117" s="53"/>
      <c r="CJ117" s="53"/>
      <c r="CK117" s="53"/>
      <c r="CL117" s="53"/>
      <c r="CM117" s="53"/>
      <c r="CN117" s="53"/>
      <c r="CO117" s="53"/>
      <c r="CP117" s="53"/>
      <c r="CQ117" s="53"/>
      <c r="CR117" s="53"/>
      <c r="CS117" s="53"/>
      <c r="CT117" s="53"/>
      <c r="CU117" s="53"/>
      <c r="CV117" s="53"/>
      <c r="CW117" s="53"/>
      <c r="CX117" s="53"/>
    </row>
    <row r="118" spans="1:102" x14ac:dyDescent="0.3">
      <c r="A118" s="52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53"/>
      <c r="CE118" s="53"/>
      <c r="CF118" s="53"/>
      <c r="CG118" s="53"/>
      <c r="CH118" s="53"/>
      <c r="CI118" s="53"/>
      <c r="CJ118" s="53"/>
      <c r="CK118" s="53"/>
      <c r="CL118" s="53"/>
      <c r="CM118" s="53"/>
      <c r="CN118" s="53"/>
      <c r="CO118" s="53"/>
      <c r="CP118" s="53"/>
      <c r="CQ118" s="53"/>
      <c r="CR118" s="53"/>
      <c r="CS118" s="53"/>
      <c r="CT118" s="53"/>
      <c r="CU118" s="53"/>
      <c r="CV118" s="53"/>
      <c r="CW118" s="53"/>
      <c r="CX118" s="53"/>
    </row>
    <row r="119" spans="1:102" x14ac:dyDescent="0.3">
      <c r="A119" s="52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53"/>
      <c r="CE119" s="53"/>
      <c r="CF119" s="53"/>
      <c r="CG119" s="53"/>
      <c r="CH119" s="53"/>
      <c r="CI119" s="53"/>
      <c r="CJ119" s="53"/>
      <c r="CK119" s="53"/>
      <c r="CL119" s="53"/>
      <c r="CM119" s="53"/>
      <c r="CN119" s="53"/>
      <c r="CO119" s="53"/>
      <c r="CP119" s="53"/>
      <c r="CQ119" s="53"/>
      <c r="CR119" s="53"/>
      <c r="CS119" s="53"/>
      <c r="CT119" s="53"/>
      <c r="CU119" s="53"/>
      <c r="CV119" s="53"/>
      <c r="CW119" s="53"/>
      <c r="CX119" s="53"/>
    </row>
    <row r="120" spans="1:102" x14ac:dyDescent="0.3">
      <c r="A120" s="52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3"/>
      <c r="CI120" s="53"/>
      <c r="CJ120" s="53"/>
      <c r="CK120" s="53"/>
      <c r="CL120" s="53"/>
      <c r="CM120" s="53"/>
      <c r="CN120" s="53"/>
      <c r="CO120" s="53"/>
      <c r="CP120" s="53"/>
      <c r="CQ120" s="53"/>
      <c r="CR120" s="53"/>
      <c r="CS120" s="53"/>
      <c r="CT120" s="53"/>
      <c r="CU120" s="53"/>
      <c r="CV120" s="53"/>
      <c r="CW120" s="53"/>
      <c r="CX120" s="53"/>
    </row>
    <row r="121" spans="1:102" x14ac:dyDescent="0.3">
      <c r="A121" s="52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53"/>
      <c r="CE121" s="53"/>
      <c r="CF121" s="53"/>
      <c r="CG121" s="53"/>
      <c r="CH121" s="53"/>
      <c r="CI121" s="53"/>
      <c r="CJ121" s="53"/>
      <c r="CK121" s="53"/>
      <c r="CL121" s="53"/>
      <c r="CM121" s="53"/>
      <c r="CN121" s="53"/>
      <c r="CO121" s="53"/>
      <c r="CP121" s="53"/>
      <c r="CQ121" s="53"/>
      <c r="CR121" s="53"/>
      <c r="CS121" s="53"/>
      <c r="CT121" s="53"/>
      <c r="CU121" s="53"/>
      <c r="CV121" s="53"/>
      <c r="CW121" s="53"/>
      <c r="CX121" s="53"/>
    </row>
    <row r="122" spans="1:102" x14ac:dyDescent="0.3">
      <c r="A122" s="52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53"/>
      <c r="CG122" s="53"/>
      <c r="CH122" s="53"/>
      <c r="CI122" s="53"/>
      <c r="CJ122" s="53"/>
      <c r="CK122" s="53"/>
      <c r="CL122" s="53"/>
      <c r="CM122" s="53"/>
      <c r="CN122" s="53"/>
      <c r="CO122" s="53"/>
      <c r="CP122" s="53"/>
      <c r="CQ122" s="53"/>
      <c r="CR122" s="53"/>
      <c r="CS122" s="53"/>
      <c r="CT122" s="53"/>
      <c r="CU122" s="53"/>
      <c r="CV122" s="53"/>
      <c r="CW122" s="53"/>
      <c r="CX122" s="53"/>
    </row>
    <row r="123" spans="1:102" x14ac:dyDescent="0.3">
      <c r="A123" s="52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53"/>
      <c r="CH123" s="53"/>
      <c r="CI123" s="53"/>
      <c r="CJ123" s="53"/>
      <c r="CK123" s="53"/>
      <c r="CL123" s="53"/>
      <c r="CM123" s="53"/>
      <c r="CN123" s="53"/>
      <c r="CO123" s="53"/>
      <c r="CP123" s="53"/>
      <c r="CQ123" s="53"/>
      <c r="CR123" s="53"/>
      <c r="CS123" s="53"/>
      <c r="CT123" s="53"/>
      <c r="CU123" s="53"/>
      <c r="CV123" s="53"/>
      <c r="CW123" s="53"/>
      <c r="CX123" s="53"/>
    </row>
    <row r="124" spans="1:102" x14ac:dyDescent="0.3">
      <c r="A124" s="52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53"/>
      <c r="CH124" s="53"/>
      <c r="CI124" s="53"/>
      <c r="CJ124" s="53"/>
      <c r="CK124" s="53"/>
      <c r="CL124" s="53"/>
      <c r="CM124" s="53"/>
      <c r="CN124" s="53"/>
      <c r="CO124" s="53"/>
      <c r="CP124" s="53"/>
      <c r="CQ124" s="53"/>
      <c r="CR124" s="53"/>
      <c r="CS124" s="53"/>
      <c r="CT124" s="53"/>
      <c r="CU124" s="53"/>
      <c r="CV124" s="53"/>
      <c r="CW124" s="53"/>
      <c r="CX124" s="53"/>
    </row>
    <row r="125" spans="1:102" x14ac:dyDescent="0.3">
      <c r="A125" s="52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53"/>
      <c r="CH125" s="53"/>
      <c r="CI125" s="53"/>
      <c r="CJ125" s="53"/>
      <c r="CK125" s="53"/>
      <c r="CL125" s="53"/>
      <c r="CM125" s="53"/>
      <c r="CN125" s="53"/>
      <c r="CO125" s="53"/>
      <c r="CP125" s="53"/>
      <c r="CQ125" s="53"/>
      <c r="CR125" s="53"/>
      <c r="CS125" s="53"/>
      <c r="CT125" s="53"/>
      <c r="CU125" s="53"/>
      <c r="CV125" s="53"/>
      <c r="CW125" s="53"/>
      <c r="CX125" s="53"/>
    </row>
    <row r="126" spans="1:102" x14ac:dyDescent="0.3">
      <c r="A126" s="52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53"/>
      <c r="CH126" s="53"/>
      <c r="CI126" s="53"/>
      <c r="CJ126" s="53"/>
      <c r="CK126" s="53"/>
      <c r="CL126" s="53"/>
      <c r="CM126" s="53"/>
      <c r="CN126" s="53"/>
      <c r="CO126" s="53"/>
      <c r="CP126" s="53"/>
      <c r="CQ126" s="53"/>
      <c r="CR126" s="53"/>
      <c r="CS126" s="53"/>
      <c r="CT126" s="53"/>
      <c r="CU126" s="53"/>
      <c r="CV126" s="53"/>
      <c r="CW126" s="53"/>
      <c r="CX126" s="53"/>
    </row>
    <row r="127" spans="1:102" x14ac:dyDescent="0.3">
      <c r="A127" s="52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53"/>
      <c r="CH127" s="53"/>
      <c r="CI127" s="53"/>
      <c r="CJ127" s="53"/>
      <c r="CK127" s="53"/>
      <c r="CL127" s="53"/>
      <c r="CM127" s="53"/>
      <c r="CN127" s="53"/>
      <c r="CO127" s="53"/>
      <c r="CP127" s="53"/>
      <c r="CQ127" s="53"/>
      <c r="CR127" s="53"/>
      <c r="CS127" s="53"/>
      <c r="CT127" s="53"/>
      <c r="CU127" s="53"/>
      <c r="CV127" s="53"/>
      <c r="CW127" s="53"/>
      <c r="CX127" s="53"/>
    </row>
    <row r="128" spans="1:102" x14ac:dyDescent="0.3">
      <c r="A128" s="52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53"/>
      <c r="CH128" s="53"/>
      <c r="CI128" s="53"/>
      <c r="CJ128" s="53"/>
      <c r="CK128" s="53"/>
      <c r="CL128" s="53"/>
      <c r="CM128" s="53"/>
      <c r="CN128" s="53"/>
      <c r="CO128" s="53"/>
      <c r="CP128" s="53"/>
      <c r="CQ128" s="53"/>
      <c r="CR128" s="53"/>
      <c r="CS128" s="53"/>
      <c r="CT128" s="53"/>
      <c r="CU128" s="53"/>
      <c r="CV128" s="53"/>
      <c r="CW128" s="53"/>
      <c r="CX128" s="53"/>
    </row>
    <row r="129" spans="1:102" x14ac:dyDescent="0.3">
      <c r="A129" s="52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53"/>
      <c r="CH129" s="53"/>
      <c r="CI129" s="53"/>
      <c r="CJ129" s="53"/>
      <c r="CK129" s="53"/>
      <c r="CL129" s="53"/>
      <c r="CM129" s="53"/>
      <c r="CN129" s="53"/>
      <c r="CO129" s="53"/>
      <c r="CP129" s="53"/>
      <c r="CQ129" s="53"/>
      <c r="CR129" s="53"/>
      <c r="CS129" s="53"/>
      <c r="CT129" s="53"/>
      <c r="CU129" s="53"/>
      <c r="CV129" s="53"/>
      <c r="CW129" s="53"/>
      <c r="CX129" s="53"/>
    </row>
    <row r="130" spans="1:102" x14ac:dyDescent="0.3">
      <c r="A130" s="52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53"/>
      <c r="CH130" s="53"/>
      <c r="CI130" s="53"/>
      <c r="CJ130" s="53"/>
      <c r="CK130" s="53"/>
      <c r="CL130" s="53"/>
      <c r="CM130" s="53"/>
      <c r="CN130" s="53"/>
      <c r="CO130" s="53"/>
      <c r="CP130" s="53"/>
      <c r="CQ130" s="53"/>
      <c r="CR130" s="53"/>
      <c r="CS130" s="53"/>
      <c r="CT130" s="53"/>
      <c r="CU130" s="53"/>
      <c r="CV130" s="53"/>
      <c r="CW130" s="53"/>
      <c r="CX130" s="53"/>
    </row>
    <row r="131" spans="1:102" x14ac:dyDescent="0.3">
      <c r="A131" s="52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53"/>
      <c r="CH131" s="53"/>
      <c r="CI131" s="53"/>
      <c r="CJ131" s="53"/>
      <c r="CK131" s="53"/>
      <c r="CL131" s="53"/>
      <c r="CM131" s="53"/>
      <c r="CN131" s="53"/>
      <c r="CO131" s="53"/>
      <c r="CP131" s="53"/>
      <c r="CQ131" s="53"/>
      <c r="CR131" s="53"/>
      <c r="CS131" s="53"/>
      <c r="CT131" s="53"/>
      <c r="CU131" s="53"/>
      <c r="CV131" s="53"/>
      <c r="CW131" s="53"/>
      <c r="CX131" s="53"/>
    </row>
    <row r="132" spans="1:102" x14ac:dyDescent="0.3">
      <c r="A132" s="52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53"/>
      <c r="CH132" s="53"/>
      <c r="CI132" s="53"/>
      <c r="CJ132" s="53"/>
      <c r="CK132" s="53"/>
      <c r="CL132" s="53"/>
      <c r="CM132" s="53"/>
      <c r="CN132" s="53"/>
      <c r="CO132" s="53"/>
      <c r="CP132" s="53"/>
      <c r="CQ132" s="53"/>
      <c r="CR132" s="53"/>
      <c r="CS132" s="53"/>
      <c r="CT132" s="53"/>
      <c r="CU132" s="53"/>
      <c r="CV132" s="53"/>
      <c r="CW132" s="53"/>
      <c r="CX132" s="53"/>
    </row>
    <row r="133" spans="1:102" x14ac:dyDescent="0.3">
      <c r="A133" s="52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53"/>
      <c r="CH133" s="53"/>
      <c r="CI133" s="53"/>
      <c r="CJ133" s="53"/>
      <c r="CK133" s="53"/>
      <c r="CL133" s="53"/>
      <c r="CM133" s="53"/>
      <c r="CN133" s="53"/>
      <c r="CO133" s="53"/>
      <c r="CP133" s="53"/>
      <c r="CQ133" s="53"/>
      <c r="CR133" s="53"/>
      <c r="CS133" s="53"/>
      <c r="CT133" s="53"/>
      <c r="CU133" s="53"/>
      <c r="CV133" s="53"/>
      <c r="CW133" s="53"/>
      <c r="CX133" s="53"/>
    </row>
    <row r="134" spans="1:102" x14ac:dyDescent="0.3">
      <c r="A134" s="52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53"/>
      <c r="CH134" s="53"/>
      <c r="CI134" s="53"/>
      <c r="CJ134" s="53"/>
      <c r="CK134" s="53"/>
      <c r="CL134" s="53"/>
      <c r="CM134" s="53"/>
      <c r="CN134" s="53"/>
      <c r="CO134" s="53"/>
      <c r="CP134" s="53"/>
      <c r="CQ134" s="53"/>
      <c r="CR134" s="53"/>
      <c r="CS134" s="53"/>
      <c r="CT134" s="53"/>
      <c r="CU134" s="53"/>
      <c r="CV134" s="53"/>
      <c r="CW134" s="53"/>
      <c r="CX134" s="53"/>
    </row>
    <row r="135" spans="1:102" x14ac:dyDescent="0.3">
      <c r="A135" s="52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53"/>
      <c r="CH135" s="53"/>
      <c r="CI135" s="53"/>
      <c r="CJ135" s="53"/>
      <c r="CK135" s="53"/>
      <c r="CL135" s="53"/>
      <c r="CM135" s="53"/>
      <c r="CN135" s="53"/>
      <c r="CO135" s="53"/>
      <c r="CP135" s="53"/>
      <c r="CQ135" s="53"/>
      <c r="CR135" s="53"/>
      <c r="CS135" s="53"/>
      <c r="CT135" s="53"/>
      <c r="CU135" s="53"/>
      <c r="CV135" s="53"/>
      <c r="CW135" s="53"/>
      <c r="CX135" s="53"/>
    </row>
    <row r="136" spans="1:102" x14ac:dyDescent="0.3">
      <c r="A136" s="52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53"/>
      <c r="CH136" s="53"/>
      <c r="CI136" s="53"/>
      <c r="CJ136" s="53"/>
      <c r="CK136" s="53"/>
      <c r="CL136" s="53"/>
      <c r="CM136" s="53"/>
      <c r="CN136" s="53"/>
      <c r="CO136" s="53"/>
      <c r="CP136" s="53"/>
      <c r="CQ136" s="53"/>
      <c r="CR136" s="53"/>
      <c r="CS136" s="53"/>
      <c r="CT136" s="53"/>
      <c r="CU136" s="53"/>
      <c r="CV136" s="53"/>
      <c r="CW136" s="53"/>
      <c r="CX136" s="53"/>
    </row>
    <row r="137" spans="1:102" x14ac:dyDescent="0.3">
      <c r="A137" s="52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53"/>
      <c r="CH137" s="53"/>
      <c r="CI137" s="53"/>
      <c r="CJ137" s="53"/>
      <c r="CK137" s="53"/>
      <c r="CL137" s="53"/>
      <c r="CM137" s="53"/>
      <c r="CN137" s="53"/>
      <c r="CO137" s="53"/>
      <c r="CP137" s="53"/>
      <c r="CQ137" s="53"/>
      <c r="CR137" s="53"/>
      <c r="CS137" s="53"/>
      <c r="CT137" s="53"/>
      <c r="CU137" s="53"/>
      <c r="CV137" s="53"/>
      <c r="CW137" s="53"/>
      <c r="CX137" s="53"/>
    </row>
    <row r="138" spans="1:102" x14ac:dyDescent="0.3">
      <c r="A138" s="52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53"/>
      <c r="CH138" s="53"/>
      <c r="CI138" s="53"/>
      <c r="CJ138" s="53"/>
      <c r="CK138" s="53"/>
      <c r="CL138" s="53"/>
      <c r="CM138" s="53"/>
      <c r="CN138" s="53"/>
      <c r="CO138" s="53"/>
      <c r="CP138" s="53"/>
      <c r="CQ138" s="53"/>
      <c r="CR138" s="53"/>
      <c r="CS138" s="53"/>
      <c r="CT138" s="53"/>
      <c r="CU138" s="53"/>
      <c r="CV138" s="53"/>
      <c r="CW138" s="53"/>
      <c r="CX138" s="53"/>
    </row>
    <row r="139" spans="1:102" x14ac:dyDescent="0.3">
      <c r="A139" s="52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53"/>
      <c r="CH139" s="53"/>
      <c r="CI139" s="53"/>
      <c r="CJ139" s="53"/>
      <c r="CK139" s="53"/>
      <c r="CL139" s="53"/>
      <c r="CM139" s="53"/>
      <c r="CN139" s="53"/>
      <c r="CO139" s="53"/>
      <c r="CP139" s="53"/>
      <c r="CQ139" s="53"/>
      <c r="CR139" s="53"/>
      <c r="CS139" s="53"/>
      <c r="CT139" s="53"/>
      <c r="CU139" s="53"/>
      <c r="CV139" s="53"/>
      <c r="CW139" s="53"/>
      <c r="CX139" s="53"/>
    </row>
    <row r="140" spans="1:102" x14ac:dyDescent="0.3">
      <c r="A140" s="52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53"/>
      <c r="CH140" s="53"/>
      <c r="CI140" s="53"/>
      <c r="CJ140" s="53"/>
      <c r="CK140" s="53"/>
      <c r="CL140" s="53"/>
      <c r="CM140" s="53"/>
      <c r="CN140" s="53"/>
      <c r="CO140" s="53"/>
      <c r="CP140" s="53"/>
      <c r="CQ140" s="53"/>
      <c r="CR140" s="53"/>
      <c r="CS140" s="53"/>
      <c r="CT140" s="53"/>
      <c r="CU140" s="53"/>
      <c r="CV140" s="53"/>
      <c r="CW140" s="53"/>
      <c r="CX140" s="53"/>
    </row>
    <row r="141" spans="1:102" x14ac:dyDescent="0.3">
      <c r="A141" s="52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53"/>
      <c r="CH141" s="53"/>
      <c r="CI141" s="53"/>
      <c r="CJ141" s="53"/>
      <c r="CK141" s="53"/>
      <c r="CL141" s="53"/>
      <c r="CM141" s="53"/>
      <c r="CN141" s="53"/>
      <c r="CO141" s="53"/>
      <c r="CP141" s="53"/>
      <c r="CQ141" s="53"/>
      <c r="CR141" s="53"/>
      <c r="CS141" s="53"/>
      <c r="CT141" s="53"/>
      <c r="CU141" s="53"/>
      <c r="CV141" s="53"/>
      <c r="CW141" s="53"/>
      <c r="CX141" s="53"/>
    </row>
    <row r="142" spans="1:102" x14ac:dyDescent="0.3">
      <c r="A142" s="52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53"/>
      <c r="CH142" s="53"/>
      <c r="CI142" s="53"/>
      <c r="CJ142" s="53"/>
      <c r="CK142" s="53"/>
      <c r="CL142" s="53"/>
      <c r="CM142" s="53"/>
      <c r="CN142" s="53"/>
      <c r="CO142" s="53"/>
      <c r="CP142" s="53"/>
      <c r="CQ142" s="53"/>
      <c r="CR142" s="53"/>
      <c r="CS142" s="53"/>
      <c r="CT142" s="53"/>
      <c r="CU142" s="53"/>
      <c r="CV142" s="53"/>
      <c r="CW142" s="53"/>
      <c r="CX142" s="53"/>
    </row>
    <row r="143" spans="1:102" x14ac:dyDescent="0.3">
      <c r="A143" s="52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53"/>
      <c r="CH143" s="53"/>
      <c r="CI143" s="53"/>
      <c r="CJ143" s="53"/>
      <c r="CK143" s="53"/>
      <c r="CL143" s="53"/>
      <c r="CM143" s="53"/>
      <c r="CN143" s="53"/>
      <c r="CO143" s="53"/>
      <c r="CP143" s="53"/>
      <c r="CQ143" s="53"/>
      <c r="CR143" s="53"/>
      <c r="CS143" s="53"/>
      <c r="CT143" s="53"/>
      <c r="CU143" s="53"/>
      <c r="CV143" s="53"/>
      <c r="CW143" s="53"/>
      <c r="CX143" s="53"/>
    </row>
    <row r="144" spans="1:102" x14ac:dyDescent="0.3">
      <c r="A144" s="52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53"/>
      <c r="CH144" s="53"/>
      <c r="CI144" s="53"/>
      <c r="CJ144" s="53"/>
      <c r="CK144" s="53"/>
      <c r="CL144" s="53"/>
      <c r="CM144" s="53"/>
      <c r="CN144" s="53"/>
      <c r="CO144" s="53"/>
      <c r="CP144" s="53"/>
      <c r="CQ144" s="53"/>
      <c r="CR144" s="53"/>
      <c r="CS144" s="53"/>
      <c r="CT144" s="53"/>
      <c r="CU144" s="53"/>
      <c r="CV144" s="53"/>
      <c r="CW144" s="53"/>
      <c r="CX144" s="53"/>
    </row>
    <row r="145" spans="1:102" x14ac:dyDescent="0.3">
      <c r="A145" s="52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53"/>
      <c r="CH145" s="53"/>
      <c r="CI145" s="53"/>
      <c r="CJ145" s="53"/>
      <c r="CK145" s="53"/>
      <c r="CL145" s="53"/>
      <c r="CM145" s="53"/>
      <c r="CN145" s="53"/>
      <c r="CO145" s="53"/>
      <c r="CP145" s="53"/>
      <c r="CQ145" s="53"/>
      <c r="CR145" s="53"/>
      <c r="CS145" s="53"/>
      <c r="CT145" s="53"/>
      <c r="CU145" s="53"/>
      <c r="CV145" s="53"/>
      <c r="CW145" s="53"/>
      <c r="CX145" s="53"/>
    </row>
    <row r="146" spans="1:102" x14ac:dyDescent="0.3">
      <c r="A146" s="52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53"/>
      <c r="CH146" s="53"/>
      <c r="CI146" s="53"/>
      <c r="CJ146" s="53"/>
      <c r="CK146" s="53"/>
      <c r="CL146" s="53"/>
      <c r="CM146" s="53"/>
      <c r="CN146" s="53"/>
      <c r="CO146" s="53"/>
      <c r="CP146" s="53"/>
      <c r="CQ146" s="53"/>
      <c r="CR146" s="53"/>
      <c r="CS146" s="53"/>
      <c r="CT146" s="53"/>
      <c r="CU146" s="53"/>
      <c r="CV146" s="53"/>
      <c r="CW146" s="53"/>
      <c r="CX146" s="53"/>
    </row>
    <row r="147" spans="1:102" x14ac:dyDescent="0.3">
      <c r="A147" s="52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53"/>
      <c r="CH147" s="53"/>
      <c r="CI147" s="53"/>
      <c r="CJ147" s="53"/>
      <c r="CK147" s="53"/>
      <c r="CL147" s="53"/>
      <c r="CM147" s="53"/>
      <c r="CN147" s="53"/>
      <c r="CO147" s="53"/>
      <c r="CP147" s="53"/>
      <c r="CQ147" s="53"/>
      <c r="CR147" s="53"/>
      <c r="CS147" s="53"/>
      <c r="CT147" s="53"/>
      <c r="CU147" s="53"/>
      <c r="CV147" s="53"/>
      <c r="CW147" s="53"/>
      <c r="CX147" s="53"/>
    </row>
    <row r="148" spans="1:102" x14ac:dyDescent="0.3">
      <c r="A148" s="52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53"/>
      <c r="CH148" s="53"/>
      <c r="CI148" s="53"/>
      <c r="CJ148" s="53"/>
      <c r="CK148" s="53"/>
      <c r="CL148" s="53"/>
      <c r="CM148" s="53"/>
      <c r="CN148" s="53"/>
      <c r="CO148" s="53"/>
      <c r="CP148" s="53"/>
      <c r="CQ148" s="53"/>
      <c r="CR148" s="53"/>
      <c r="CS148" s="53"/>
      <c r="CT148" s="53"/>
      <c r="CU148" s="53"/>
      <c r="CV148" s="53"/>
      <c r="CW148" s="53"/>
      <c r="CX148" s="53"/>
    </row>
    <row r="149" spans="1:102" x14ac:dyDescent="0.3">
      <c r="A149" s="52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53"/>
      <c r="CH149" s="53"/>
      <c r="CI149" s="53"/>
      <c r="CJ149" s="53"/>
      <c r="CK149" s="53"/>
      <c r="CL149" s="53"/>
      <c r="CM149" s="53"/>
      <c r="CN149" s="53"/>
      <c r="CO149" s="53"/>
      <c r="CP149" s="53"/>
      <c r="CQ149" s="53"/>
      <c r="CR149" s="53"/>
      <c r="CS149" s="53"/>
      <c r="CT149" s="53"/>
      <c r="CU149" s="53"/>
      <c r="CV149" s="53"/>
      <c r="CW149" s="53"/>
      <c r="CX149" s="53"/>
    </row>
    <row r="150" spans="1:102" x14ac:dyDescent="0.3">
      <c r="A150" s="52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53"/>
      <c r="CH150" s="53"/>
      <c r="CI150" s="53"/>
      <c r="CJ150" s="53"/>
      <c r="CK150" s="53"/>
      <c r="CL150" s="53"/>
      <c r="CM150" s="53"/>
      <c r="CN150" s="53"/>
      <c r="CO150" s="53"/>
      <c r="CP150" s="53"/>
      <c r="CQ150" s="53"/>
      <c r="CR150" s="53"/>
      <c r="CS150" s="53"/>
      <c r="CT150" s="53"/>
      <c r="CU150" s="53"/>
      <c r="CV150" s="53"/>
      <c r="CW150" s="53"/>
      <c r="CX150" s="53"/>
    </row>
    <row r="151" spans="1:102" x14ac:dyDescent="0.3">
      <c r="A151" s="52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53"/>
      <c r="CH151" s="53"/>
      <c r="CI151" s="53"/>
      <c r="CJ151" s="53"/>
      <c r="CK151" s="53"/>
      <c r="CL151" s="53"/>
      <c r="CM151" s="53"/>
      <c r="CN151" s="53"/>
      <c r="CO151" s="53"/>
      <c r="CP151" s="53"/>
      <c r="CQ151" s="53"/>
      <c r="CR151" s="53"/>
      <c r="CS151" s="53"/>
      <c r="CT151" s="53"/>
      <c r="CU151" s="53"/>
      <c r="CV151" s="53"/>
      <c r="CW151" s="53"/>
      <c r="CX151" s="53"/>
    </row>
    <row r="152" spans="1:102" x14ac:dyDescent="0.3">
      <c r="A152" s="52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53"/>
      <c r="CE152" s="53"/>
      <c r="CF152" s="53"/>
      <c r="CG152" s="53"/>
      <c r="CH152" s="53"/>
      <c r="CI152" s="53"/>
      <c r="CJ152" s="53"/>
      <c r="CK152" s="53"/>
      <c r="CL152" s="53"/>
      <c r="CM152" s="53"/>
      <c r="CN152" s="53"/>
      <c r="CO152" s="53"/>
      <c r="CP152" s="53"/>
      <c r="CQ152" s="53"/>
      <c r="CR152" s="53"/>
      <c r="CS152" s="53"/>
      <c r="CT152" s="53"/>
      <c r="CU152" s="53"/>
      <c r="CV152" s="53"/>
      <c r="CW152" s="53"/>
      <c r="CX152" s="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724875-9FAE-46CF-ADE6-AA5FE23504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5</vt:i4>
      </vt:variant>
    </vt:vector>
  </HeadingPairs>
  <TitlesOfParts>
    <vt:vector size="10" baseType="lpstr">
      <vt:lpstr>Лист1</vt:lpstr>
      <vt:lpstr>Лист2</vt:lpstr>
      <vt:lpstr>Лист8</vt:lpstr>
      <vt:lpstr>Лист3</vt:lpstr>
      <vt:lpstr>Лист4</vt:lpstr>
      <vt:lpstr>Диаграмма3</vt:lpstr>
      <vt:lpstr>Диаграмма5</vt:lpstr>
      <vt:lpstr>Диаграмма7</vt:lpstr>
      <vt:lpstr>Диаграмма2</vt:lpstr>
      <vt:lpstr>Диаграмма1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Даниил</dc:creator>
  <cp:lastModifiedBy>Daniil Sidorov</cp:lastModifiedBy>
  <dcterms:created xsi:type="dcterms:W3CDTF">2016-11-21T11:18:41Z</dcterms:created>
  <dcterms:modified xsi:type="dcterms:W3CDTF">2021-12-18T04:20:37Z</dcterms:modified>
</cp:coreProperties>
</file>